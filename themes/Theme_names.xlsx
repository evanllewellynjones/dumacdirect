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4\Documents\GitHub\dumacdirect\themes\"/>
    </mc:Choice>
  </mc:AlternateContent>
  <xr:revisionPtr revIDLastSave="0" documentId="13_ncr:1_{A84CA11C-6E9B-4D0A-BB1C-93F0D36EA6A3}" xr6:coauthVersionLast="47" xr6:coauthVersionMax="47" xr10:uidLastSave="{00000000-0000-0000-0000-000000000000}"/>
  <bookViews>
    <workbookView xWindow="31635" yWindow="2640" windowWidth="21600" windowHeight="11295" xr2:uid="{757E91CE-9E2A-4834-9CB6-3AEB8BF41194}"/>
  </bookViews>
  <sheets>
    <sheet name="Sheet1" sheetId="1" r:id="rId1"/>
  </sheets>
  <externalReferences>
    <externalReference r:id="rId2"/>
  </externalReferences>
  <definedNames>
    <definedName name="BloombergSubstitution_20260531_233719" localSheetId="0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2" i="1" l="1"/>
  <c r="H54" i="1"/>
  <c r="G92" i="1"/>
  <c r="I88" i="1"/>
  <c r="G54" i="1"/>
  <c r="H88" i="1"/>
  <c r="G88" i="1"/>
  <c r="I54" i="1"/>
  <c r="I92" i="1"/>
  <c r="I84" i="1" a="1"/>
  <c r="I84" i="1"/>
  <c r="G84" i="1" a="1"/>
  <c r="G84" i="1"/>
  <c r="F84" i="1" a="1"/>
  <c r="F84" i="1"/>
  <c r="H84" i="1" a="1"/>
  <c r="H84" i="1"/>
  <c r="F86" i="1" a="1"/>
  <c r="G115" i="1" a="1"/>
  <c r="H116" i="1" a="1"/>
  <c r="G170" i="1" a="1"/>
  <c r="G62" i="1" a="1"/>
  <c r="F62" i="1" a="1"/>
  <c r="H140" i="1" a="1"/>
  <c r="G86" i="1" a="1"/>
  <c r="I97" i="1" a="1"/>
  <c r="I67" i="1" a="1"/>
  <c r="F50" i="1" a="1"/>
  <c r="H138" i="1" a="1"/>
  <c r="H168" i="1" a="1"/>
  <c r="F106" i="1" a="1"/>
  <c r="G28" i="1" a="1"/>
  <c r="I21" i="1" a="1"/>
  <c r="H27" i="1" a="1"/>
  <c r="I41" i="1" a="1"/>
  <c r="F165" i="1" a="1"/>
  <c r="H86" i="1" a="1"/>
  <c r="I62" i="1" a="1"/>
  <c r="G116" i="1" a="1"/>
  <c r="G169" i="1" a="1"/>
  <c r="I34" i="1" a="1"/>
  <c r="H55" i="1" a="1"/>
  <c r="G165" i="1" a="1"/>
  <c r="I140" i="1" a="1"/>
  <c r="I145" i="1" a="1"/>
  <c r="H41" i="1" a="1"/>
  <c r="I80" i="1" a="1"/>
  <c r="H159" i="1" a="1"/>
  <c r="G99" i="1" a="1"/>
  <c r="F80" i="1" a="1"/>
  <c r="F13" i="1" a="1"/>
  <c r="G168" i="1" a="1"/>
  <c r="I93" i="1" a="1"/>
  <c r="G67" i="1" a="1"/>
  <c r="H21" i="1" a="1"/>
  <c r="F41" i="1" a="1"/>
  <c r="H143" i="1" a="1"/>
  <c r="F159" i="1" a="1"/>
  <c r="H145" i="1" a="1"/>
  <c r="G152" i="1" a="1"/>
  <c r="F66" i="1" a="1"/>
  <c r="I96" i="1" a="1"/>
  <c r="F10" i="1" a="1"/>
  <c r="F110" i="1" a="1"/>
  <c r="G137" i="1" a="1"/>
  <c r="I146" i="1" a="1"/>
  <c r="G53" i="1" a="1"/>
  <c r="H81" i="1" a="1"/>
  <c r="F87" i="1" a="1"/>
  <c r="G111" i="1" a="1"/>
  <c r="G96" i="1" a="1"/>
  <c r="F119" i="1" a="1"/>
  <c r="I114" i="1" a="1"/>
  <c r="F92" i="1" a="1"/>
  <c r="G10" i="1" a="1"/>
  <c r="H73" i="1" a="1"/>
  <c r="F81" i="1" a="1"/>
  <c r="G82" i="1" a="1"/>
  <c r="I126" i="1" a="1"/>
  <c r="I72" i="1" a="1"/>
  <c r="G162" i="1" a="1"/>
  <c r="H172" i="1" a="1"/>
  <c r="I65" i="1" a="1"/>
  <c r="I40" i="1" a="1"/>
  <c r="G109" i="1" a="1"/>
  <c r="I90" i="1" a="1"/>
  <c r="I161" i="1" a="1"/>
  <c r="H87" i="1" a="1"/>
  <c r="G31" i="1" a="1"/>
  <c r="F75" i="1" a="1"/>
  <c r="F73" i="1" a="1"/>
  <c r="G146" i="1" a="1"/>
  <c r="G134" i="1" a="1"/>
  <c r="F96" i="1" a="1"/>
  <c r="H132" i="1" a="1"/>
  <c r="F34" i="1" a="1"/>
  <c r="I165" i="1" a="1"/>
  <c r="I116" i="1" a="1"/>
  <c r="H97" i="1" a="1"/>
  <c r="H169" i="1" a="1"/>
  <c r="F161" i="1" a="1"/>
  <c r="H152" i="1" a="1"/>
  <c r="F143" i="1" a="1"/>
  <c r="H28" i="1" a="1"/>
  <c r="G11" i="1" a="1"/>
  <c r="G80" i="1" a="1"/>
  <c r="F125" i="1" a="1"/>
  <c r="F49" i="1" a="1"/>
  <c r="H122" i="1" a="1"/>
  <c r="H134" i="1" a="1"/>
  <c r="F37" i="1" a="1"/>
  <c r="H53" i="1" a="1"/>
  <c r="I87" i="1" a="1"/>
  <c r="F53" i="1" a="1"/>
  <c r="H75" i="1" a="1"/>
  <c r="H44" i="1" a="1"/>
  <c r="I105" i="1" a="1"/>
  <c r="I70" i="1" a="1"/>
  <c r="H105" i="1" a="1"/>
  <c r="H133" i="1" a="1"/>
  <c r="F22" i="1" a="1"/>
  <c r="G123" i="1" a="1"/>
  <c r="H95" i="1" a="1"/>
  <c r="G124" i="1" a="1"/>
  <c r="F36" i="1" a="1"/>
  <c r="F83" i="1" a="1"/>
  <c r="G70" i="1" a="1"/>
  <c r="F147" i="1" a="1"/>
  <c r="G164" i="1" a="1"/>
  <c r="F16" i="1" a="1"/>
  <c r="F104" i="1" a="1"/>
  <c r="F149" i="1" a="1"/>
  <c r="I171" i="1" a="1"/>
  <c r="G78" i="1" a="1"/>
  <c r="F72" i="1" a="1"/>
  <c r="F26" i="1" a="1"/>
  <c r="I150" i="1" a="1"/>
  <c r="I124" i="1" a="1"/>
  <c r="G29" i="1" a="1"/>
  <c r="H117" i="1" a="1"/>
  <c r="F151" i="1" a="1"/>
  <c r="I20" i="1" a="1"/>
  <c r="H112" i="1" a="1"/>
  <c r="I59" i="1" a="1"/>
  <c r="I108" i="1" a="1"/>
  <c r="I94" i="1" a="1"/>
  <c r="F38" i="1" a="1"/>
  <c r="H20" i="1" a="1"/>
  <c r="G89" i="1" a="1"/>
  <c r="G167" i="1" a="1"/>
  <c r="H37" i="1" a="1"/>
  <c r="G160" i="1" a="1"/>
  <c r="H22" i="1" a="1"/>
  <c r="G105" i="1" a="1"/>
  <c r="I115" i="1" a="1"/>
  <c r="I55" i="1" a="1"/>
  <c r="I50" i="1" a="1"/>
  <c r="I66" i="1" a="1"/>
  <c r="H50" i="1" a="1"/>
  <c r="I136" i="1" a="1"/>
  <c r="G27" i="1" a="1"/>
  <c r="F56" i="1" a="1"/>
  <c r="G163" i="1" a="1"/>
  <c r="G44" i="1" a="1"/>
  <c r="F39" i="1" a="1"/>
  <c r="G132" i="1" a="1"/>
  <c r="I134" i="1" a="1"/>
  <c r="G155" i="1" a="1"/>
  <c r="H111" i="1" a="1"/>
  <c r="G95" i="1" a="1"/>
  <c r="F120" i="1" a="1"/>
  <c r="G142" i="1" a="1"/>
  <c r="F61" i="1" a="1"/>
  <c r="I157" i="1" a="1"/>
  <c r="F74" i="1" a="1"/>
  <c r="H46" i="1" a="1"/>
  <c r="G38" i="1" a="1"/>
  <c r="H32" i="1" a="1"/>
  <c r="F100" i="1" a="1"/>
  <c r="H24" i="1" a="1"/>
  <c r="I100" i="1" a="1"/>
  <c r="I118" i="1" a="1"/>
  <c r="I79" i="1" a="1"/>
  <c r="I166" i="1" a="1"/>
  <c r="I135" i="1" a="1"/>
  <c r="I164" i="1" a="1"/>
  <c r="H128" i="1" a="1"/>
  <c r="G52" i="1" a="1"/>
  <c r="I19" i="1" a="1"/>
  <c r="F141" i="1" a="1"/>
  <c r="G104" i="1" a="1"/>
  <c r="F150" i="1" a="1"/>
  <c r="F117" i="1" a="1"/>
  <c r="G126" i="1" a="1"/>
  <c r="F25" i="1" a="1"/>
  <c r="H149" i="1" a="1"/>
  <c r="F124" i="1" a="1"/>
  <c r="I121" i="1" a="1"/>
  <c r="H36" i="1" a="1"/>
  <c r="F51" i="1" a="1"/>
  <c r="F76" i="1" a="1"/>
  <c r="I133" i="1" a="1"/>
  <c r="F95" i="1" a="1"/>
  <c r="I78" i="1" a="1"/>
  <c r="I74" i="1" a="1"/>
  <c r="I14" i="1" a="1"/>
  <c r="F46" i="1" a="1"/>
  <c r="F20" i="1" a="1"/>
  <c r="I17" i="1" a="1"/>
  <c r="G94" i="1" a="1"/>
  <c r="I35" i="1" a="1"/>
  <c r="H170" i="1" a="1"/>
  <c r="F169" i="1" a="1"/>
  <c r="F154" i="1" a="1"/>
  <c r="H127" i="1" a="1"/>
  <c r="I13" i="1" a="1"/>
  <c r="G21" i="1" a="1"/>
  <c r="H103" i="1" a="1"/>
  <c r="F67" i="1" a="1"/>
  <c r="H71" i="1" a="1"/>
  <c r="I138" i="1" a="1"/>
  <c r="F27" i="1" a="1"/>
  <c r="G93" i="1" a="1"/>
  <c r="H30" i="1" a="1"/>
  <c r="I158" i="1" a="1"/>
  <c r="I39" i="1" a="1"/>
  <c r="G37" i="1" a="1"/>
  <c r="F158" i="1" a="1"/>
  <c r="G81" i="1" a="1"/>
  <c r="I172" i="1" a="1"/>
  <c r="H160" i="1" a="1"/>
  <c r="H115" i="1" a="1"/>
  <c r="F55" i="1" a="1"/>
  <c r="G161" i="1" a="1"/>
  <c r="G13" i="1" a="1"/>
  <c r="H106" i="1" a="1"/>
  <c r="I168" i="1" a="1"/>
  <c r="F93" i="1" a="1"/>
  <c r="H167" i="1" a="1"/>
  <c r="G119" i="1" a="1"/>
  <c r="F146" i="1" a="1"/>
  <c r="H155" i="1" a="1"/>
  <c r="G114" i="1" a="1"/>
  <c r="G60" i="1" a="1"/>
  <c r="G150" i="1" a="1"/>
  <c r="I51" i="1" a="1"/>
  <c r="G74" i="1" a="1"/>
  <c r="F162" i="1" a="1"/>
  <c r="F160" i="1" a="1"/>
  <c r="F77" i="1" a="1"/>
  <c r="G144" i="1" a="1"/>
  <c r="F58" i="1" a="1"/>
  <c r="G79" i="1" a="1"/>
  <c r="G24" i="1" a="1"/>
  <c r="G47" i="1" a="1"/>
  <c r="I47" i="1" a="1"/>
  <c r="G32" i="1" a="1"/>
  <c r="I102" i="1" a="1"/>
  <c r="H89" i="1" a="1"/>
  <c r="F170" i="1" a="1"/>
  <c r="I122" i="1" a="1"/>
  <c r="F42" i="1" a="1"/>
  <c r="G110" i="1" a="1"/>
  <c r="F122" i="1" a="1"/>
  <c r="H12" i="1" a="1"/>
  <c r="I123" i="1" a="1"/>
  <c r="F127" i="1" a="1"/>
  <c r="F113" i="1" a="1"/>
  <c r="G55" i="1" a="1"/>
  <c r="I69" i="1" a="1"/>
  <c r="F21" i="1" a="1"/>
  <c r="G90" i="1" a="1"/>
  <c r="F145" i="1" a="1"/>
  <c r="I56" i="1" a="1"/>
  <c r="G69" i="1" a="1"/>
  <c r="H49" i="1" a="1"/>
  <c r="G66" i="1" a="1"/>
  <c r="I132" i="1" a="1"/>
  <c r="H114" i="1" a="1"/>
  <c r="I163" i="1" a="1"/>
  <c r="G171" i="1" a="1"/>
  <c r="G36" i="1" a="1"/>
  <c r="I22" i="1" a="1"/>
  <c r="G51" i="1" a="1"/>
  <c r="I25" i="1" a="1"/>
  <c r="H63" i="1" a="1"/>
  <c r="I98" i="1" a="1"/>
  <c r="F130" i="1" a="1"/>
  <c r="H33" i="1" a="1"/>
  <c r="F133" i="1" a="1"/>
  <c r="I63" i="1" a="1"/>
  <c r="G97" i="1" a="1"/>
  <c r="I169" i="1" a="1"/>
  <c r="I109" i="1" a="1"/>
  <c r="G159" i="1" a="1"/>
  <c r="G143" i="1" a="1"/>
  <c r="I159" i="1" a="1"/>
  <c r="F138" i="1" a="1"/>
  <c r="H110" i="1" a="1"/>
  <c r="G91" i="1" a="1"/>
  <c r="I111" i="1" a="1"/>
  <c r="F132" i="1" a="1"/>
  <c r="H163" i="1" a="1"/>
  <c r="I127" i="1" a="1"/>
  <c r="G34" i="1" a="1"/>
  <c r="G154" i="1" a="1"/>
  <c r="F116" i="1" a="1"/>
  <c r="G56" i="1" a="1"/>
  <c r="H93" i="1" a="1"/>
  <c r="G136" i="1" a="1"/>
  <c r="F109" i="1" a="1"/>
  <c r="G125" i="1" a="1"/>
  <c r="H69" i="1" a="1"/>
  <c r="H40" i="1" a="1"/>
  <c r="I49" i="1" a="1"/>
  <c r="G138" i="1" a="1"/>
  <c r="I27" i="1" a="1"/>
  <c r="F30" i="1" a="1"/>
  <c r="F134" i="1" a="1"/>
  <c r="H31" i="1" a="1"/>
  <c r="I155" i="1" a="1"/>
  <c r="F31" i="1" a="1"/>
  <c r="I119" i="1" a="1"/>
  <c r="G157" i="1" a="1"/>
  <c r="H82" i="1" a="1"/>
  <c r="G130" i="1" a="1"/>
  <c r="H26" i="1" a="1"/>
  <c r="F142" i="1" a="1"/>
  <c r="F164" i="1" a="1"/>
  <c r="H164" i="1" a="1"/>
  <c r="I151" i="1" a="1"/>
  <c r="I57" i="1" a="1"/>
  <c r="G14" i="1" a="1"/>
  <c r="F128" i="1" a="1"/>
  <c r="H57" i="1" a="1"/>
  <c r="H151" i="1" a="1"/>
  <c r="H51" i="1" a="1"/>
  <c r="F23" i="1" a="1"/>
  <c r="H18" i="1" a="1"/>
  <c r="I36" i="1" a="1"/>
  <c r="H130" i="1" a="1"/>
  <c r="I107" i="1" a="1"/>
  <c r="G98" i="1" a="1"/>
  <c r="G61" i="1" a="1"/>
  <c r="G26" i="1" a="1"/>
  <c r="G16" i="1" a="1"/>
  <c r="F171" i="1" a="1"/>
  <c r="I43" i="1" a="1"/>
  <c r="F17" i="1" a="1"/>
  <c r="H94" i="1" a="1"/>
  <c r="G64" i="1" a="1"/>
  <c r="G139" i="1" a="1"/>
  <c r="I129" i="1" a="1"/>
  <c r="F108" i="1" a="1"/>
  <c r="F112" i="1" a="1"/>
  <c r="F15" i="1" a="1"/>
  <c r="G100" i="1" a="1"/>
  <c r="F47" i="1" a="1"/>
  <c r="I68" i="1" a="1"/>
  <c r="F33" i="1" a="1"/>
  <c r="G48" i="1" a="1"/>
  <c r="F19" i="1" a="1"/>
  <c r="G129" i="1" a="1"/>
  <c r="F29" i="1" a="1"/>
  <c r="H70" i="1" a="1"/>
  <c r="G156" i="1" a="1"/>
  <c r="H162" i="1" a="1"/>
  <c r="I48" i="1" a="1"/>
  <c r="H23" i="1" a="1"/>
  <c r="G140" i="1" a="1"/>
  <c r="I154" i="1" a="1"/>
  <c r="H125" i="1" a="1"/>
  <c r="G106" i="1" a="1"/>
  <c r="F71" i="1" a="1"/>
  <c r="I125" i="1" a="1"/>
  <c r="I10" i="1" a="1"/>
  <c r="I75" i="1" a="1"/>
  <c r="F155" i="1" a="1"/>
  <c r="F111" i="1" a="1"/>
  <c r="H96" i="1" a="1"/>
  <c r="H119" i="1" a="1"/>
  <c r="H74" i="1" a="1"/>
  <c r="I76" i="1" a="1"/>
  <c r="G128" i="1" a="1"/>
  <c r="G147" i="1" a="1"/>
  <c r="I147" i="1" a="1"/>
  <c r="G72" i="1" a="1"/>
  <c r="G151" i="1" a="1"/>
  <c r="G77" i="1" a="1"/>
  <c r="G108" i="1" a="1"/>
  <c r="H166" i="1" a="1"/>
  <c r="H148" i="1" a="1"/>
  <c r="F85" i="1" a="1"/>
  <c r="G166" i="1" a="1"/>
  <c r="G118" i="1" a="1"/>
  <c r="I6" i="1" a="1"/>
  <c r="F78" i="1" a="1"/>
  <c r="F18" i="1" a="1"/>
  <c r="I18" i="1" a="1"/>
  <c r="G12" i="1" a="1"/>
  <c r="H25" i="1" a="1"/>
  <c r="I141" i="1" a="1"/>
  <c r="H101" i="1" a="1"/>
  <c r="H19" i="1" a="1"/>
  <c r="H171" i="1" a="1"/>
  <c r="F48" i="1" a="1"/>
  <c r="G153" i="1" a="1"/>
  <c r="H35" i="1" a="1"/>
  <c r="H38" i="1" a="1"/>
  <c r="F94" i="1" a="1"/>
  <c r="G46" i="1" a="1"/>
  <c r="G19" i="1" a="1"/>
  <c r="H154" i="1" a="1"/>
  <c r="G65" i="1" a="1"/>
  <c r="I113" i="1" a="1"/>
  <c r="G113" i="1" a="1"/>
  <c r="I143" i="1" a="1"/>
  <c r="H66" i="1" a="1"/>
  <c r="F152" i="1" a="1"/>
  <c r="H90" i="1" a="1"/>
  <c r="G71" i="1" a="1"/>
  <c r="F40" i="1" a="1"/>
  <c r="G49" i="1" a="1"/>
  <c r="G103" i="1" a="1"/>
  <c r="I11" i="1" a="1"/>
  <c r="F167" i="1" a="1"/>
  <c r="I91" i="1" a="1"/>
  <c r="I53" i="1" a="1"/>
  <c r="G75" i="1" a="1"/>
  <c r="I167" i="1" a="1"/>
  <c r="I81" i="1" a="1"/>
  <c r="F68" i="1" a="1"/>
  <c r="G121" i="1" a="1"/>
  <c r="G117" i="1" a="1"/>
  <c r="G101" i="1" a="1"/>
  <c r="F70" i="1" a="1"/>
  <c r="F105" i="1" a="1"/>
  <c r="F126" i="1" a="1"/>
  <c r="H126" i="1" a="1"/>
  <c r="I117" i="1" a="1"/>
  <c r="I52" i="1" a="1"/>
  <c r="F157" i="1" a="1"/>
  <c r="I64" i="1" a="1"/>
  <c r="I38" i="1" a="1"/>
  <c r="H72" i="1" a="1"/>
  <c r="H156" i="1" a="1"/>
  <c r="I160" i="1" a="1"/>
  <c r="H61" i="1" a="1"/>
  <c r="H104" i="1" a="1"/>
  <c r="I9" i="1" a="1"/>
  <c r="F121" i="1" a="1"/>
  <c r="G112" i="1" a="1"/>
  <c r="I144" i="1" a="1"/>
  <c r="H144" i="1" a="1"/>
  <c r="H165" i="1" a="1"/>
  <c r="H34" i="1" a="1"/>
  <c r="F28" i="1" a="1"/>
  <c r="I152" i="1" a="1"/>
  <c r="F90" i="1" a="1"/>
  <c r="H67" i="1" a="1"/>
  <c r="I71" i="1" a="1"/>
  <c r="G158" i="1" a="1"/>
  <c r="F114" i="1" a="1"/>
  <c r="I44" i="1" a="1"/>
  <c r="G73" i="1" a="1"/>
  <c r="F163" i="1" a="1"/>
  <c r="I73" i="1" a="1"/>
  <c r="F91" i="1" a="1"/>
  <c r="I82" i="1" a="1"/>
  <c r="H123" i="1" a="1"/>
  <c r="I95" i="1" a="1"/>
  <c r="G76" i="1" a="1"/>
  <c r="H68" i="1" a="1"/>
  <c r="F59" i="1" a="1"/>
  <c r="G17" i="1" a="1"/>
  <c r="H77" i="1" a="1"/>
  <c r="H102" i="1" a="1"/>
  <c r="H118" i="1" a="1"/>
  <c r="H85" i="1" a="1"/>
  <c r="G102" i="1" a="1"/>
  <c r="I32" i="1" a="1"/>
  <c r="F148" i="1" a="1"/>
  <c r="H15" i="1" a="1"/>
  <c r="F60" i="1" a="1"/>
  <c r="G22" i="1" a="1"/>
  <c r="I83" i="1" a="1"/>
  <c r="H9" i="1" a="1"/>
  <c r="G57" i="1" a="1"/>
  <c r="F14" i="1" a="1"/>
  <c r="I130" i="1" a="1"/>
  <c r="G18" i="1" a="1"/>
  <c r="I104" i="1" a="1"/>
  <c r="H157" i="1" a="1"/>
  <c r="I153" i="1" a="1"/>
  <c r="H139" i="1" a="1"/>
  <c r="I46" i="1" a="1"/>
  <c r="F35" i="1" a="1"/>
  <c r="H65" i="1" a="1"/>
  <c r="H113" i="1" a="1"/>
  <c r="F97" i="1" a="1"/>
  <c r="F115" i="1" a="1"/>
  <c r="H62" i="1" a="1"/>
  <c r="I106" i="1" a="1"/>
  <c r="F103" i="1" a="1"/>
  <c r="H136" i="1" a="1"/>
  <c r="G40" i="1" a="1"/>
  <c r="F69" i="1" a="1"/>
  <c r="G41" i="1" a="1"/>
  <c r="I103" i="1" a="1"/>
  <c r="H11" i="1" a="1"/>
  <c r="H42" i="1" a="1"/>
  <c r="H91" i="1" a="1"/>
  <c r="I137" i="1" a="1"/>
  <c r="I37" i="1" a="1"/>
  <c r="F54" i="1" a="1"/>
  <c r="I110" i="1" a="1"/>
  <c r="H39" i="1" a="1"/>
  <c r="F172" i="1" a="1"/>
  <c r="G33" i="1" a="1"/>
  <c r="G127" i="1" a="1"/>
  <c r="H99" i="1" a="1"/>
  <c r="F136" i="1" a="1"/>
  <c r="H109" i="1" a="1"/>
  <c r="I99" i="1" a="1"/>
  <c r="G122" i="1" a="1"/>
  <c r="H137" i="1" a="1"/>
  <c r="I86" i="1" a="1"/>
  <c r="F65" i="1" a="1"/>
  <c r="I170" i="1" a="1"/>
  <c r="F140" i="1" a="1"/>
  <c r="F99" i="1" a="1"/>
  <c r="G50" i="1" a="1"/>
  <c r="H161" i="1" a="1"/>
  <c r="H13" i="1" a="1"/>
  <c r="F11" i="1" a="1"/>
  <c r="H80" i="1" a="1"/>
  <c r="G145" i="1" a="1"/>
  <c r="I28" i="1" a="1"/>
  <c r="G42" i="1" a="1"/>
  <c r="H146" i="1" a="1"/>
  <c r="G133" i="1" a="1"/>
  <c r="I33" i="1" a="1"/>
  <c r="H76" i="1" a="1"/>
  <c r="F9" i="1" a="1"/>
  <c r="I60" i="1" a="1"/>
  <c r="I131" i="1" a="1"/>
  <c r="G68" i="1" a="1"/>
  <c r="H78" i="1" a="1"/>
  <c r="F168" i="1" a="1"/>
  <c r="G39" i="1" a="1"/>
  <c r="I29" i="1" a="1"/>
  <c r="I101" i="1" a="1"/>
  <c r="F43" i="1" a="1"/>
  <c r="F139" i="1" a="1"/>
  <c r="I24" i="1" a="1"/>
  <c r="H100" i="1" a="1"/>
  <c r="F32" i="1" a="1"/>
  <c r="F118" i="1" a="1"/>
  <c r="G83" i="1" a="1"/>
  <c r="F63" i="1" a="1"/>
  <c r="F129" i="1" a="1"/>
  <c r="F45" i="1" a="1"/>
  <c r="H47" i="1" a="1"/>
  <c r="G148" i="1" a="1"/>
  <c r="I89" i="1" a="1"/>
  <c r="G43" i="1" a="1"/>
  <c r="H56" i="1" a="1"/>
  <c r="H14" i="1" a="1"/>
  <c r="G23" i="1" a="1"/>
  <c r="I16" i="1" a="1"/>
  <c r="H124" i="1" a="1"/>
  <c r="G25" i="1" a="1"/>
  <c r="G35" i="1" a="1"/>
  <c r="H141" i="1" a="1"/>
  <c r="H58" i="1" a="1"/>
  <c r="I148" i="1" a="1"/>
  <c r="I58" i="1" a="1"/>
  <c r="H45" i="1" a="1"/>
  <c r="H59" i="1" a="1"/>
  <c r="I12" i="1" a="1"/>
  <c r="H158" i="1" a="1"/>
  <c r="I30" i="1" a="1"/>
  <c r="I142" i="1" a="1"/>
  <c r="F123" i="1" a="1"/>
  <c r="F101" i="1" a="1"/>
  <c r="F82" i="1" a="1"/>
  <c r="I128" i="1" a="1"/>
  <c r="H147" i="1" a="1"/>
  <c r="H153" i="1" a="1"/>
  <c r="I77" i="1" a="1"/>
  <c r="G131" i="1" a="1"/>
  <c r="F79" i="1" a="1"/>
  <c r="H48" i="1" a="1"/>
  <c r="I15" i="1" a="1"/>
  <c r="H10" i="1" a="1"/>
  <c r="G172" i="1" a="1"/>
  <c r="H107" i="1" a="1"/>
  <c r="F12" i="1" a="1"/>
  <c r="H83" i="1" a="1"/>
  <c r="I23" i="1" a="1"/>
  <c r="G59" i="1" a="1"/>
  <c r="I42" i="1" a="1"/>
  <c r="F57" i="1" a="1"/>
  <c r="H142" i="1" a="1"/>
  <c r="I26" i="1" a="1"/>
  <c r="H98" i="1" a="1"/>
  <c r="H52" i="1" a="1"/>
  <c r="G20" i="1" a="1"/>
  <c r="G87" i="1" a="1"/>
  <c r="I156" i="1" a="1"/>
  <c r="H120" i="1" a="1"/>
  <c r="F107" i="1" a="1"/>
  <c r="I149" i="1" a="1"/>
  <c r="H60" i="1" a="1"/>
  <c r="H43" i="1" a="1"/>
  <c r="I139" i="1" a="1"/>
  <c r="F44" i="1" a="1"/>
  <c r="G141" i="1" a="1"/>
  <c r="G63" i="1" a="1"/>
  <c r="I162" i="1" a="1"/>
  <c r="F98" i="1" a="1"/>
  <c r="G58" i="1" a="1"/>
  <c r="F166" i="1" a="1"/>
  <c r="I85" i="1" a="1"/>
  <c r="F89" i="1" a="1"/>
  <c r="H131" i="1" a="1"/>
  <c r="F64" i="1" a="1"/>
  <c r="G135" i="1" a="1"/>
  <c r="G30" i="1" a="1"/>
  <c r="I61" i="1" a="1"/>
  <c r="H108" i="1" a="1"/>
  <c r="F102" i="1" a="1"/>
  <c r="H135" i="1" a="1"/>
  <c r="F137" i="1" a="1"/>
  <c r="H64" i="1" a="1"/>
  <c r="H121" i="1" a="1"/>
  <c r="G45" i="1" a="1"/>
  <c r="G15" i="1" a="1"/>
  <c r="F88" i="1" a="1"/>
  <c r="I120" i="1" a="1"/>
  <c r="G120" i="1" a="1"/>
  <c r="F52" i="1" a="1"/>
  <c r="H129" i="1" a="1"/>
  <c r="H150" i="1" a="1"/>
  <c r="G9" i="1" a="1"/>
  <c r="H17" i="1" a="1"/>
  <c r="H79" i="1" a="1"/>
  <c r="F24" i="1" a="1"/>
  <c r="F135" i="1" a="1"/>
  <c r="F153" i="1" a="1"/>
  <c r="G85" i="1" a="1"/>
  <c r="H16" i="1" a="1"/>
  <c r="F144" i="1" a="1"/>
  <c r="I31" i="1" a="1"/>
  <c r="G107" i="1" a="1"/>
  <c r="G149" i="1" a="1"/>
  <c r="F156" i="1" a="1"/>
  <c r="H29" i="1" a="1"/>
  <c r="I112" i="1" a="1"/>
  <c r="F131" i="1" a="1"/>
  <c r="I45" i="1" a="1"/>
  <c r="H7" i="1" a="1"/>
  <c r="I5" i="1" a="1"/>
  <c r="I8" i="1" a="1"/>
  <c r="G8" i="1" a="1"/>
  <c r="H8" i="1" a="1"/>
  <c r="G6" i="1" a="1"/>
  <c r="I7" i="1" a="1"/>
  <c r="G7" i="1" a="1"/>
  <c r="H6" i="1" a="1"/>
  <c r="H5" i="1" a="1"/>
  <c r="G5" i="1" a="1"/>
  <c r="F6" i="1" a="1"/>
  <c r="F7" i="1" a="1"/>
  <c r="F8" i="1" a="1"/>
  <c r="F5" i="1" a="1"/>
  <c r="F5" i="1" l="1"/>
  <c r="F8" i="1"/>
  <c r="F7" i="1"/>
  <c r="F6" i="1"/>
  <c r="G5" i="1"/>
  <c r="H5" i="1"/>
  <c r="H6" i="1"/>
  <c r="G7" i="1"/>
  <c r="I7" i="1"/>
  <c r="G6" i="1"/>
  <c r="H8" i="1"/>
  <c r="G8" i="1"/>
  <c r="I8" i="1"/>
  <c r="I5" i="1"/>
  <c r="H7" i="1"/>
  <c r="I45" i="1"/>
  <c r="F131" i="1"/>
  <c r="I112" i="1"/>
  <c r="H29" i="1"/>
  <c r="F156" i="1"/>
  <c r="G149" i="1"/>
  <c r="G107" i="1"/>
  <c r="I31" i="1"/>
  <c r="F144" i="1"/>
  <c r="H16" i="1"/>
  <c r="G85" i="1"/>
  <c r="F153" i="1"/>
  <c r="F135" i="1"/>
  <c r="F24" i="1"/>
  <c r="H79" i="1"/>
  <c r="H17" i="1"/>
  <c r="G9" i="1"/>
  <c r="H150" i="1"/>
  <c r="H129" i="1"/>
  <c r="F52" i="1"/>
  <c r="G120" i="1"/>
  <c r="I120" i="1"/>
  <c r="F88" i="1"/>
  <c r="G15" i="1"/>
  <c r="G45" i="1"/>
  <c r="H121" i="1"/>
  <c r="H64" i="1"/>
  <c r="F137" i="1"/>
  <c r="H135" i="1"/>
  <c r="F102" i="1"/>
  <c r="H108" i="1"/>
  <c r="I61" i="1"/>
  <c r="G30" i="1"/>
  <c r="G135" i="1"/>
  <c r="F64" i="1"/>
  <c r="H131" i="1"/>
  <c r="F89" i="1"/>
  <c r="I85" i="1"/>
  <c r="F166" i="1"/>
  <c r="G58" i="1"/>
  <c r="F98" i="1"/>
  <c r="I162" i="1"/>
  <c r="G63" i="1"/>
  <c r="G141" i="1"/>
  <c r="F44" i="1"/>
  <c r="I139" i="1"/>
  <c r="H43" i="1"/>
  <c r="H60" i="1"/>
  <c r="I149" i="1"/>
  <c r="F107" i="1"/>
  <c r="H120" i="1"/>
  <c r="I156" i="1"/>
  <c r="G87" i="1"/>
  <c r="G20" i="1"/>
  <c r="H52" i="1"/>
  <c r="H98" i="1"/>
  <c r="I26" i="1"/>
  <c r="H142" i="1"/>
  <c r="F57" i="1"/>
  <c r="I42" i="1"/>
  <c r="G59" i="1"/>
  <c r="I23" i="1"/>
  <c r="H83" i="1"/>
  <c r="F12" i="1"/>
  <c r="H107" i="1"/>
  <c r="G172" i="1"/>
  <c r="H10" i="1"/>
  <c r="I15" i="1"/>
  <c r="H48" i="1"/>
  <c r="F79" i="1"/>
  <c r="G131" i="1"/>
  <c r="I77" i="1"/>
  <c r="H153" i="1"/>
  <c r="H147" i="1"/>
  <c r="I128" i="1"/>
  <c r="F82" i="1"/>
  <c r="F101" i="1"/>
  <c r="F123" i="1"/>
  <c r="I142" i="1"/>
  <c r="I30" i="1"/>
  <c r="H158" i="1"/>
  <c r="I12" i="1"/>
  <c r="H59" i="1"/>
  <c r="H45" i="1"/>
  <c r="I58" i="1"/>
  <c r="I148" i="1"/>
  <c r="H58" i="1"/>
  <c r="H141" i="1"/>
  <c r="G35" i="1"/>
  <c r="G25" i="1"/>
  <c r="H124" i="1"/>
  <c r="I16" i="1"/>
  <c r="G23" i="1"/>
  <c r="H14" i="1"/>
  <c r="H56" i="1"/>
  <c r="G43" i="1"/>
  <c r="I89" i="1"/>
  <c r="G148" i="1"/>
  <c r="H47" i="1"/>
  <c r="F45" i="1"/>
  <c r="F129" i="1"/>
  <c r="F63" i="1"/>
  <c r="G83" i="1"/>
  <c r="F118" i="1"/>
  <c r="F32" i="1"/>
  <c r="H100" i="1"/>
  <c r="I24" i="1"/>
  <c r="F139" i="1"/>
  <c r="F43" i="1"/>
  <c r="I101" i="1"/>
  <c r="I29" i="1"/>
  <c r="G39" i="1"/>
  <c r="F168" i="1"/>
  <c r="H78" i="1"/>
  <c r="G68" i="1"/>
  <c r="I131" i="1"/>
  <c r="I60" i="1"/>
  <c r="F9" i="1"/>
  <c r="H76" i="1"/>
  <c r="I33" i="1"/>
  <c r="G133" i="1"/>
  <c r="H146" i="1"/>
  <c r="G42" i="1"/>
  <c r="I28" i="1"/>
  <c r="G145" i="1"/>
  <c r="H80" i="1"/>
  <c r="F11" i="1"/>
  <c r="H13" i="1"/>
  <c r="H161" i="1"/>
  <c r="G50" i="1"/>
  <c r="F99" i="1"/>
  <c r="F140" i="1"/>
  <c r="I170" i="1"/>
  <c r="F65" i="1"/>
  <c r="I86" i="1"/>
  <c r="H137" i="1"/>
  <c r="G122" i="1"/>
  <c r="I99" i="1"/>
  <c r="H109" i="1"/>
  <c r="F136" i="1"/>
  <c r="H99" i="1"/>
  <c r="G127" i="1"/>
  <c r="G33" i="1"/>
  <c r="F172" i="1"/>
  <c r="H39" i="1"/>
  <c r="I110" i="1"/>
  <c r="F54" i="1"/>
  <c r="I37" i="1"/>
  <c r="I137" i="1"/>
  <c r="H91" i="1"/>
  <c r="H42" i="1"/>
  <c r="H11" i="1"/>
  <c r="I103" i="1"/>
  <c r="G41" i="1"/>
  <c r="F69" i="1"/>
  <c r="G40" i="1"/>
  <c r="H136" i="1"/>
  <c r="F103" i="1"/>
  <c r="I106" i="1"/>
  <c r="H62" i="1"/>
  <c r="F115" i="1"/>
  <c r="F97" i="1"/>
  <c r="H113" i="1"/>
  <c r="H65" i="1"/>
  <c r="F35" i="1"/>
  <c r="I46" i="1"/>
  <c r="H139" i="1"/>
  <c r="I153" i="1"/>
  <c r="H157" i="1"/>
  <c r="I104" i="1"/>
  <c r="G18" i="1"/>
  <c r="I130" i="1"/>
  <c r="F14" i="1"/>
  <c r="G57" i="1"/>
  <c r="H9" i="1"/>
  <c r="I83" i="1"/>
  <c r="G22" i="1"/>
  <c r="F60" i="1"/>
  <c r="H15" i="1"/>
  <c r="F148" i="1"/>
  <c r="I32" i="1"/>
  <c r="G102" i="1"/>
  <c r="H85" i="1"/>
  <c r="H118" i="1"/>
  <c r="H102" i="1"/>
  <c r="H77" i="1"/>
  <c r="G17" i="1"/>
  <c r="F59" i="1"/>
  <c r="H68" i="1"/>
  <c r="G76" i="1"/>
  <c r="I95" i="1"/>
  <c r="H123" i="1"/>
  <c r="I82" i="1"/>
  <c r="F91" i="1"/>
  <c r="I73" i="1"/>
  <c r="F163" i="1"/>
  <c r="G73" i="1"/>
  <c r="I44" i="1"/>
  <c r="F114" i="1"/>
  <c r="G158" i="1"/>
  <c r="I71" i="1"/>
  <c r="H67" i="1"/>
  <c r="F90" i="1"/>
  <c r="I152" i="1"/>
  <c r="F28" i="1"/>
  <c r="H34" i="1"/>
  <c r="H165" i="1"/>
  <c r="H144" i="1"/>
  <c r="I144" i="1"/>
  <c r="G112" i="1"/>
  <c r="F121" i="1"/>
  <c r="I9" i="1"/>
  <c r="H104" i="1"/>
  <c r="H61" i="1"/>
  <c r="I160" i="1"/>
  <c r="H156" i="1"/>
  <c r="H72" i="1"/>
  <c r="I38" i="1"/>
  <c r="I64" i="1"/>
  <c r="F157" i="1"/>
  <c r="I52" i="1"/>
  <c r="I117" i="1"/>
  <c r="H126" i="1"/>
  <c r="F126" i="1"/>
  <c r="F105" i="1"/>
  <c r="F70" i="1"/>
  <c r="G101" i="1"/>
  <c r="G117" i="1"/>
  <c r="G121" i="1"/>
  <c r="F68" i="1"/>
  <c r="I81" i="1"/>
  <c r="I167" i="1"/>
  <c r="G75" i="1"/>
  <c r="I53" i="1"/>
  <c r="I91" i="1"/>
  <c r="F167" i="1"/>
  <c r="I11" i="1"/>
  <c r="G103" i="1"/>
  <c r="G49" i="1"/>
  <c r="F40" i="1"/>
  <c r="G71" i="1"/>
  <c r="H90" i="1"/>
  <c r="F152" i="1"/>
  <c r="H66" i="1"/>
  <c r="I143" i="1"/>
  <c r="G113" i="1"/>
  <c r="I113" i="1"/>
  <c r="G65" i="1"/>
  <c r="H154" i="1"/>
  <c r="G19" i="1"/>
  <c r="G46" i="1"/>
  <c r="F94" i="1"/>
  <c r="H38" i="1"/>
  <c r="H35" i="1"/>
  <c r="G153" i="1"/>
  <c r="F48" i="1"/>
  <c r="H171" i="1"/>
  <c r="H19" i="1"/>
  <c r="H101" i="1"/>
  <c r="I141" i="1"/>
  <c r="H25" i="1"/>
  <c r="G12" i="1"/>
  <c r="I18" i="1"/>
  <c r="F18" i="1"/>
  <c r="F78" i="1"/>
  <c r="I6" i="1"/>
  <c r="G118" i="1"/>
  <c r="G166" i="1"/>
  <c r="F85" i="1"/>
  <c r="H148" i="1"/>
  <c r="H166" i="1"/>
  <c r="G108" i="1"/>
  <c r="G77" i="1"/>
  <c r="G151" i="1"/>
  <c r="G72" i="1"/>
  <c r="I147" i="1"/>
  <c r="G147" i="1"/>
  <c r="G128" i="1"/>
  <c r="I76" i="1"/>
  <c r="H74" i="1"/>
  <c r="H119" i="1"/>
  <c r="H96" i="1"/>
  <c r="F111" i="1"/>
  <c r="F155" i="1"/>
  <c r="I75" i="1"/>
  <c r="I10" i="1"/>
  <c r="I125" i="1"/>
  <c r="F71" i="1"/>
  <c r="G106" i="1"/>
  <c r="H125" i="1"/>
  <c r="I154" i="1"/>
  <c r="G140" i="1"/>
  <c r="H23" i="1"/>
  <c r="I48" i="1"/>
  <c r="H162" i="1"/>
  <c r="G156" i="1"/>
  <c r="H70" i="1"/>
  <c r="F29" i="1"/>
  <c r="G129" i="1"/>
  <c r="F19" i="1"/>
  <c r="G48" i="1"/>
  <c r="F33" i="1"/>
  <c r="I68" i="1"/>
  <c r="F47" i="1"/>
  <c r="G100" i="1"/>
  <c r="F15" i="1"/>
  <c r="F112" i="1"/>
  <c r="F108" i="1"/>
  <c r="I129" i="1"/>
  <c r="G139" i="1"/>
  <c r="G64" i="1"/>
  <c r="H94" i="1"/>
  <c r="F17" i="1"/>
  <c r="I43" i="1"/>
  <c r="F171" i="1"/>
  <c r="G16" i="1"/>
  <c r="G26" i="1"/>
  <c r="G61" i="1"/>
  <c r="G98" i="1"/>
  <c r="I107" i="1"/>
  <c r="H130" i="1"/>
  <c r="I36" i="1"/>
  <c r="H18" i="1"/>
  <c r="F23" i="1"/>
  <c r="H51" i="1"/>
  <c r="H151" i="1"/>
  <c r="H57" i="1"/>
  <c r="F128" i="1"/>
  <c r="G14" i="1"/>
  <c r="I57" i="1"/>
  <c r="I151" i="1"/>
  <c r="H164" i="1"/>
  <c r="F164" i="1"/>
  <c r="F142" i="1"/>
  <c r="H26" i="1"/>
  <c r="G130" i="1"/>
  <c r="H82" i="1"/>
  <c r="G157" i="1"/>
  <c r="I119" i="1"/>
  <c r="F31" i="1"/>
  <c r="I155" i="1"/>
  <c r="H31" i="1"/>
  <c r="F134" i="1"/>
  <c r="F30" i="1"/>
  <c r="I27" i="1"/>
  <c r="G138" i="1"/>
  <c r="I49" i="1"/>
  <c r="H40" i="1"/>
  <c r="H69" i="1"/>
  <c r="G125" i="1"/>
  <c r="F109" i="1"/>
  <c r="G136" i="1"/>
  <c r="H93" i="1"/>
  <c r="G56" i="1"/>
  <c r="F116" i="1"/>
  <c r="G154" i="1"/>
  <c r="G34" i="1"/>
  <c r="I127" i="1"/>
  <c r="H163" i="1"/>
  <c r="F132" i="1"/>
  <c r="I111" i="1"/>
  <c r="G91" i="1"/>
  <c r="H110" i="1"/>
  <c r="F138" i="1"/>
  <c r="I159" i="1"/>
  <c r="G143" i="1"/>
  <c r="G159" i="1"/>
  <c r="I109" i="1"/>
  <c r="I169" i="1"/>
  <c r="G97" i="1"/>
  <c r="I63" i="1"/>
  <c r="F133" i="1"/>
  <c r="H33" i="1"/>
  <c r="F130" i="1"/>
  <c r="I98" i="1"/>
  <c r="H63" i="1"/>
  <c r="I25" i="1"/>
  <c r="G51" i="1"/>
  <c r="I22" i="1"/>
  <c r="G36" i="1"/>
  <c r="G171" i="1"/>
  <c r="I163" i="1"/>
  <c r="H114" i="1"/>
  <c r="I132" i="1"/>
  <c r="G66" i="1"/>
  <c r="H49" i="1"/>
  <c r="G69" i="1"/>
  <c r="I56" i="1"/>
  <c r="F145" i="1"/>
  <c r="G90" i="1"/>
  <c r="F21" i="1"/>
  <c r="I69" i="1"/>
  <c r="G55" i="1"/>
  <c r="F113" i="1"/>
  <c r="F127" i="1"/>
  <c r="I123" i="1"/>
  <c r="H12" i="1"/>
  <c r="F122" i="1"/>
  <c r="G110" i="1"/>
  <c r="F42" i="1"/>
  <c r="I122" i="1"/>
  <c r="F170" i="1"/>
  <c r="H89" i="1"/>
  <c r="I102" i="1"/>
  <c r="G32" i="1"/>
  <c r="I47" i="1"/>
  <c r="G47" i="1"/>
  <c r="G24" i="1"/>
  <c r="G79" i="1"/>
  <c r="F58" i="1"/>
  <c r="G144" i="1"/>
  <c r="F77" i="1"/>
  <c r="F160" i="1"/>
  <c r="F162" i="1"/>
  <c r="G74" i="1"/>
  <c r="I51" i="1"/>
  <c r="G150" i="1"/>
  <c r="G60" i="1"/>
  <c r="G114" i="1"/>
  <c r="H155" i="1"/>
  <c r="F146" i="1"/>
  <c r="G119" i="1"/>
  <c r="H167" i="1"/>
  <c r="F93" i="1"/>
  <c r="I168" i="1"/>
  <c r="H106" i="1"/>
  <c r="G13" i="1"/>
  <c r="G161" i="1"/>
  <c r="F55" i="1"/>
  <c r="H115" i="1"/>
  <c r="H160" i="1"/>
  <c r="I172" i="1"/>
  <c r="G81" i="1"/>
  <c r="F158" i="1"/>
  <c r="G37" i="1"/>
  <c r="I39" i="1"/>
  <c r="I158" i="1"/>
  <c r="H30" i="1"/>
  <c r="G93" i="1"/>
  <c r="F27" i="1"/>
  <c r="I138" i="1"/>
  <c r="H71" i="1"/>
  <c r="F67" i="1"/>
  <c r="H103" i="1"/>
  <c r="G21" i="1"/>
  <c r="I13" i="1"/>
  <c r="H127" i="1"/>
  <c r="F154" i="1"/>
  <c r="F169" i="1"/>
  <c r="H170" i="1"/>
  <c r="I35" i="1"/>
  <c r="G94" i="1"/>
  <c r="I17" i="1"/>
  <c r="F20" i="1"/>
  <c r="F46" i="1"/>
  <c r="I14" i="1"/>
  <c r="I74" i="1"/>
  <c r="I78" i="1"/>
  <c r="F95" i="1"/>
  <c r="I133" i="1"/>
  <c r="F76" i="1"/>
  <c r="F51" i="1"/>
  <c r="H36" i="1"/>
  <c r="I121" i="1"/>
  <c r="F124" i="1"/>
  <c r="H149" i="1"/>
  <c r="F25" i="1"/>
  <c r="G126" i="1"/>
  <c r="F117" i="1"/>
  <c r="F150" i="1"/>
  <c r="G104" i="1"/>
  <c r="F141" i="1"/>
  <c r="I19" i="1"/>
  <c r="G52" i="1"/>
  <c r="H128" i="1"/>
  <c r="I164" i="1"/>
  <c r="I135" i="1"/>
  <c r="I166" i="1"/>
  <c r="I79" i="1"/>
  <c r="I118" i="1"/>
  <c r="I100" i="1"/>
  <c r="H24" i="1"/>
  <c r="F100" i="1"/>
  <c r="H32" i="1"/>
  <c r="G38" i="1"/>
  <c r="H46" i="1"/>
  <c r="F74" i="1"/>
  <c r="I157" i="1"/>
  <c r="F61" i="1"/>
  <c r="G142" i="1"/>
  <c r="F120" i="1"/>
  <c r="G95" i="1"/>
  <c r="H111" i="1"/>
  <c r="G155" i="1"/>
  <c r="I134" i="1"/>
  <c r="G132" i="1"/>
  <c r="F39" i="1"/>
  <c r="G44" i="1"/>
  <c r="G163" i="1"/>
  <c r="F56" i="1"/>
  <c r="G27" i="1"/>
  <c r="I136" i="1"/>
  <c r="H50" i="1"/>
  <c r="I66" i="1"/>
  <c r="I50" i="1"/>
  <c r="I55" i="1"/>
  <c r="I115" i="1"/>
  <c r="G105" i="1"/>
  <c r="H22" i="1"/>
  <c r="G160" i="1"/>
  <c r="H37" i="1"/>
  <c r="G167" i="1"/>
  <c r="G89" i="1"/>
  <c r="H20" i="1"/>
  <c r="F38" i="1"/>
  <c r="I94" i="1"/>
  <c r="I108" i="1"/>
  <c r="I59" i="1"/>
  <c r="H112" i="1"/>
  <c r="I20" i="1"/>
  <c r="F151" i="1"/>
  <c r="H117" i="1"/>
  <c r="G29" i="1"/>
  <c r="I124" i="1"/>
  <c r="I150" i="1"/>
  <c r="F26" i="1"/>
  <c r="F72" i="1"/>
  <c r="G78" i="1"/>
  <c r="I171" i="1"/>
  <c r="F149" i="1"/>
  <c r="F104" i="1"/>
  <c r="F16" i="1"/>
  <c r="G164" i="1"/>
  <c r="F147" i="1"/>
  <c r="G70" i="1"/>
  <c r="F83" i="1"/>
  <c r="F36" i="1"/>
  <c r="G124" i="1"/>
  <c r="H95" i="1"/>
  <c r="G123" i="1"/>
  <c r="F22" i="1"/>
  <c r="H133" i="1"/>
  <c r="H105" i="1"/>
  <c r="I70" i="1"/>
  <c r="I105" i="1"/>
  <c r="H44" i="1"/>
  <c r="H75" i="1"/>
  <c r="F53" i="1"/>
  <c r="I87" i="1"/>
  <c r="H53" i="1"/>
  <c r="F37" i="1"/>
  <c r="H134" i="1"/>
  <c r="H122" i="1"/>
  <c r="F49" i="1"/>
  <c r="F125" i="1"/>
  <c r="G80" i="1"/>
  <c r="G11" i="1"/>
  <c r="H28" i="1"/>
  <c r="F143" i="1"/>
  <c r="H152" i="1"/>
  <c r="F161" i="1"/>
  <c r="H169" i="1"/>
  <c r="H97" i="1"/>
  <c r="I116" i="1"/>
  <c r="I165" i="1"/>
  <c r="F34" i="1"/>
  <c r="H132" i="1"/>
  <c r="F96" i="1"/>
  <c r="G134" i="1"/>
  <c r="G146" i="1"/>
  <c r="F73" i="1"/>
  <c r="F75" i="1"/>
  <c r="G31" i="1"/>
  <c r="H87" i="1"/>
  <c r="I161" i="1"/>
  <c r="I90" i="1"/>
  <c r="G109" i="1"/>
  <c r="I40" i="1"/>
  <c r="I65" i="1"/>
  <c r="H172" i="1"/>
  <c r="G162" i="1"/>
  <c r="I72" i="1"/>
  <c r="I126" i="1"/>
  <c r="G82" i="1"/>
  <c r="F81" i="1"/>
  <c r="H73" i="1"/>
  <c r="G10" i="1"/>
  <c r="F92" i="1"/>
  <c r="I114" i="1"/>
  <c r="F119" i="1"/>
  <c r="G96" i="1"/>
  <c r="G111" i="1"/>
  <c r="F87" i="1"/>
  <c r="H81" i="1"/>
  <c r="G53" i="1"/>
  <c r="I146" i="1"/>
  <c r="G137" i="1"/>
  <c r="F110" i="1"/>
  <c r="F10" i="1"/>
  <c r="I96" i="1"/>
  <c r="F66" i="1"/>
  <c r="G152" i="1"/>
  <c r="H145" i="1"/>
  <c r="F159" i="1"/>
  <c r="H143" i="1"/>
  <c r="F41" i="1"/>
  <c r="H21" i="1"/>
  <c r="G67" i="1"/>
  <c r="I93" i="1"/>
  <c r="G168" i="1"/>
  <c r="F13" i="1"/>
  <c r="F80" i="1"/>
  <c r="G99" i="1"/>
  <c r="H159" i="1"/>
  <c r="I80" i="1"/>
  <c r="H41" i="1"/>
  <c r="I145" i="1"/>
  <c r="I140" i="1"/>
  <c r="G165" i="1"/>
  <c r="H55" i="1"/>
  <c r="I34" i="1"/>
  <c r="G169" i="1"/>
  <c r="G116" i="1"/>
  <c r="I62" i="1"/>
  <c r="H86" i="1"/>
  <c r="F165" i="1"/>
  <c r="I41" i="1"/>
  <c r="H27" i="1"/>
  <c r="I21" i="1"/>
  <c r="G28" i="1"/>
  <c r="F106" i="1"/>
  <c r="H168" i="1"/>
  <c r="H138" i="1"/>
  <c r="F50" i="1"/>
  <c r="I67" i="1"/>
  <c r="I97" i="1"/>
  <c r="G86" i="1"/>
  <c r="H140" i="1"/>
  <c r="F62" i="1"/>
  <c r="G62" i="1"/>
  <c r="G170" i="1"/>
  <c r="H116" i="1"/>
  <c r="G115" i="1"/>
  <c r="F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<sst xmlns="http://schemas.openxmlformats.org/spreadsheetml/2006/main" count="798" uniqueCount="156">
  <si>
    <t>TICKER</t>
  </si>
  <si>
    <t>THEME</t>
  </si>
  <si>
    <t>SUB-THEME</t>
  </si>
  <si>
    <t>SHORT_NAME</t>
  </si>
  <si>
    <t>INPUT</t>
  </si>
  <si>
    <t>CALC</t>
  </si>
  <si>
    <t>CHG_PCT_MTD</t>
  </si>
  <si>
    <t>MTD %</t>
  </si>
  <si>
    <t>CHG_PCT_1M</t>
  </si>
  <si>
    <t>CHG_PCT_YTD</t>
  </si>
  <si>
    <t>YTD %</t>
  </si>
  <si>
    <t>30 Day %</t>
  </si>
  <si>
    <t>CATEGORY</t>
  </si>
  <si>
    <t>Productivity</t>
  </si>
  <si>
    <t>DIRECTION</t>
  </si>
  <si>
    <t>TAILWIND</t>
  </si>
  <si>
    <t>Proprietary Data</t>
  </si>
  <si>
    <t>BLSH US Equity</t>
  </si>
  <si>
    <t>Financial</t>
  </si>
  <si>
    <t>Asset Tokenization</t>
  </si>
  <si>
    <t>BR US Equity</t>
  </si>
  <si>
    <t>CEPT US Equity</t>
  </si>
  <si>
    <t>COIN US Equity</t>
  </si>
  <si>
    <t>CRCL US Equity</t>
  </si>
  <si>
    <t>FIGR US Equity</t>
  </si>
  <si>
    <t>HOOD US Equity</t>
  </si>
  <si>
    <t>SSNC US Equity</t>
  </si>
  <si>
    <t>XYZ US Equity</t>
  </si>
  <si>
    <t>BMNR US Equity</t>
  </si>
  <si>
    <t>Crypto Asset Beneficiaries</t>
  </si>
  <si>
    <t>Crypto Beneficiaries, Non-Miners</t>
  </si>
  <si>
    <t>GLXY US Equity</t>
  </si>
  <si>
    <t>MSTR US Equity</t>
  </si>
  <si>
    <t>SBET US Equity</t>
  </si>
  <si>
    <t>BTBT US Equity</t>
  </si>
  <si>
    <t>Crypto Miners (Pure-Play)</t>
  </si>
  <si>
    <t>BTDR US Equity</t>
  </si>
  <si>
    <t>CAN US Equity</t>
  </si>
  <si>
    <t>CIFR US Equity</t>
  </si>
  <si>
    <t>CLSK US Equity</t>
  </si>
  <si>
    <t>CORZ US Equity</t>
  </si>
  <si>
    <t>HIVE CN Equity</t>
  </si>
  <si>
    <t>HUT CN Equity</t>
  </si>
  <si>
    <t>IREN US Equity</t>
  </si>
  <si>
    <t>MARA US Equity</t>
  </si>
  <si>
    <t>RIOT US Equity</t>
  </si>
  <si>
    <t>WULF US Equity</t>
  </si>
  <si>
    <t>ACN US Equity</t>
  </si>
  <si>
    <t>Future</t>
  </si>
  <si>
    <t>Post-Quantum Cryptography Migration</t>
  </si>
  <si>
    <t>PQC - Compliance and Migration Services</t>
  </si>
  <si>
    <t>BAH US Equity</t>
  </si>
  <si>
    <t>CACI US Equity</t>
  </si>
  <si>
    <t>LDOS US Equity</t>
  </si>
  <si>
    <t>CRWD US Equity</t>
  </si>
  <si>
    <t>PQC - Identity and Encryption Incumbents</t>
  </si>
  <si>
    <t>FTNT US Equity</t>
  </si>
  <si>
    <t>IBM US Equity</t>
  </si>
  <si>
    <t>NET US Equity</t>
  </si>
  <si>
    <t>PANW US Equity</t>
  </si>
  <si>
    <t>AMZN US Equity</t>
  </si>
  <si>
    <t>Quantum Computing Beneficiaries</t>
  </si>
  <si>
    <t>Quantum - Hyperscaler and Strategic Programs</t>
  </si>
  <si>
    <t>BABA US Equity</t>
  </si>
  <si>
    <t>GOOGL US Equity</t>
  </si>
  <si>
    <t>HON US Equity</t>
  </si>
  <si>
    <t>INTC US Equity</t>
  </si>
  <si>
    <t>MSFT US Equity</t>
  </si>
  <si>
    <t>COHR US Equity</t>
  </si>
  <si>
    <t>Quantum - Picks and Shovels</t>
  </si>
  <si>
    <t>FORM US Equity</t>
  </si>
  <si>
    <t>KEYS US Equity</t>
  </si>
  <si>
    <t>MKSI US Equity</t>
  </si>
  <si>
    <t>NVDA US Equity</t>
  </si>
  <si>
    <t>IONQ US Equity</t>
  </si>
  <si>
    <t>Quantum - Pure-Play Platforms</t>
  </si>
  <si>
    <t>QBTS US Equity</t>
  </si>
  <si>
    <t>QNT US Equity</t>
  </si>
  <si>
    <t>QUBT US Equity</t>
  </si>
  <si>
    <t>RGTI US Equity</t>
  </si>
  <si>
    <t>ASAN US Equity</t>
  </si>
  <si>
    <t>AI Disruption of Horizontal SaaS</t>
  </si>
  <si>
    <t>HEADWIND</t>
  </si>
  <si>
    <t>BOX US Equity</t>
  </si>
  <si>
    <t>DBX US Equity</t>
  </si>
  <si>
    <t>DOCU US Equity</t>
  </si>
  <si>
    <t>FRSH US Equity</t>
  </si>
  <si>
    <t>HUBS US Equity</t>
  </si>
  <si>
    <t>PD US Equity</t>
  </si>
  <si>
    <t>TWLO US Equity</t>
  </si>
  <si>
    <t>ZM US Equity</t>
  </si>
  <si>
    <t>CRM US Equity</t>
  </si>
  <si>
    <t>AI Orchestration Layer Incumbents</t>
  </si>
  <si>
    <t>NOW US Equity</t>
  </si>
  <si>
    <t>2301 TT Equity</t>
  </si>
  <si>
    <t>Data Center Power</t>
  </si>
  <si>
    <t>800V HVDC</t>
  </si>
  <si>
    <t>6723 JP Equity</t>
  </si>
  <si>
    <t>6963 JP Equity</t>
  </si>
  <si>
    <t>ABBN SW Equity</t>
  </si>
  <si>
    <t>ADI US Equity</t>
  </si>
  <si>
    <t>ETN US Equity</t>
  </si>
  <si>
    <t>FLEX US Equity</t>
  </si>
  <si>
    <t>IFX GR Equity</t>
  </si>
  <si>
    <t>MPWR US Equity</t>
  </si>
  <si>
    <t>NVTS US Equity</t>
  </si>
  <si>
    <t>ON US Equity</t>
  </si>
  <si>
    <t>POWI US Equity</t>
  </si>
  <si>
    <t>STMPA FP Equity</t>
  </si>
  <si>
    <t>SU FP Equity</t>
  </si>
  <si>
    <t>TXN US Equity</t>
  </si>
  <si>
    <t>VRT US Equity</t>
  </si>
  <si>
    <t>WOLF US Equity</t>
  </si>
  <si>
    <t>ADP US Equity</t>
  </si>
  <si>
    <t>SaaS Durability in AI Era</t>
  </si>
  <si>
    <t>ADSK US Equity</t>
  </si>
  <si>
    <t>ANSS US Equity</t>
  </si>
  <si>
    <t>BSY US Equity</t>
  </si>
  <si>
    <t>CDNS US Equity</t>
  </si>
  <si>
    <t>CFLT US Equity</t>
  </si>
  <si>
    <t>CSGP US Equity</t>
  </si>
  <si>
    <t>CSU CN Equity</t>
  </si>
  <si>
    <t>DDOG US Equity</t>
  </si>
  <si>
    <t>DE US Equity</t>
  </si>
  <si>
    <t>FDS US Equity</t>
  </si>
  <si>
    <t>FISV US Equity</t>
  </si>
  <si>
    <t>INTU US Equity</t>
  </si>
  <si>
    <t>IOT US Equity</t>
  </si>
  <si>
    <t>IQV US Equity</t>
  </si>
  <si>
    <t>MA US Equity</t>
  </si>
  <si>
    <t>MDB US Equity</t>
  </si>
  <si>
    <t>MSCI US Equity</t>
  </si>
  <si>
    <t>ORCL US Equity</t>
  </si>
  <si>
    <t>PCOR US Equity</t>
  </si>
  <si>
    <t>PTC US Equity</t>
  </si>
  <si>
    <t>ROK US Equity</t>
  </si>
  <si>
    <t>ROP US Equity</t>
  </si>
  <si>
    <t>SHOP CN Equity</t>
  </si>
  <si>
    <t>SNOW US Equity</t>
  </si>
  <si>
    <t>SNPS US Equity</t>
  </si>
  <si>
    <t>SPGI US Equity</t>
  </si>
  <si>
    <t>SYM US Equity</t>
  </si>
  <si>
    <t>TOST US Equity</t>
  </si>
  <si>
    <t>TRMB US Equity</t>
  </si>
  <si>
    <t>TTAN US Equity</t>
  </si>
  <si>
    <t>V US Equity</t>
  </si>
  <si>
    <t>VEEV US Equity</t>
  </si>
  <si>
    <t>VRSK US Equity</t>
  </si>
  <si>
    <t>WDAY US Equity</t>
  </si>
  <si>
    <t>ZS US Equity</t>
  </si>
  <si>
    <t>Cybersecurity Tailwind</t>
  </si>
  <si>
    <t>Mission-Critical Infrastructure</t>
  </si>
  <si>
    <t>Physical-World Software</t>
  </si>
  <si>
    <t>Regulated Systems of Record</t>
  </si>
  <si>
    <t>Two-Sided Networks</t>
  </si>
  <si>
    <t>2308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</si>
</sst>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%;[Red]\(#,##0.0%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BDP|17045412036059363393</stp>
        <tr r="H47" s="1"/>
      </tp>
      <tp t="s">
        <v>#N/A N/A</v>
        <stp/>
        <stp>BDP|18407296100657679744</stp>
        <tr r="G60" s="1"/>
      </tp>
      <tp t="s">
        <v>#N/A N/A</v>
        <stp/>
        <stp>BDP|15175144295742813567</stp>
        <tr r="H125" s="1"/>
        <tr r="H159" s="1"/>
        <tr r="H168" s="1"/>
      </tp>
      <tp t="s">
        <v>#N/A N/A</v>
        <stp/>
        <stp>BDP|13493767732618537558</stp>
        <tr r="I19" s="1"/>
      </tp>
      <tp t="s">
        <v>#N/A N/A</v>
        <stp/>
        <stp>BDP|11231922700931470313</stp>
        <tr r="H53" s="1"/>
      </tp>
      <tp t="s">
        <v>#N/A N/A</v>
        <stp/>
        <stp>BDP|16601039581710357405</stp>
        <tr r="G58" s="1"/>
      </tp>
      <tp t="s">
        <v>#N/A N/A</v>
        <stp/>
        <stp>BDP|11970334795566023787</stp>
        <tr r="F73" s="1"/>
      </tp>
      <tp t="s">
        <v>#N/A N/A</v>
        <stp/>
        <stp>BDP|15136701457928875457</stp>
        <tr r="H170" s="1"/>
        <tr r="H116" s="1"/>
      </tp>
      <tp t="s">
        <v>#N/A N/A</v>
        <stp/>
        <stp>BDP|12165593197486499305</stp>
        <tr r="I21" s="1"/>
      </tp>
      <tp t="s">
        <v>#N/A N/A</v>
        <stp/>
        <stp>BDP|17378684952757152855</stp>
        <tr r="F10" s="1"/>
      </tp>
      <tp t="s">
        <v>#N/A N/A</v>
        <stp/>
        <stp>BDP|14948969147562072042</stp>
        <tr r="F22" s="1"/>
      </tp>
      <tp t="s">
        <v>#N/A N/A</v>
        <stp/>
        <stp>BDP|11196998374261711570</stp>
        <tr r="F134" s="1"/>
        <tr r="F87" s="1"/>
      </tp>
      <tp t="s">
        <v>#N/A N/A</v>
        <stp/>
        <stp>BDP|14135705782269454985</stp>
        <tr r="G161" s="1"/>
        <tr r="G99" s="1"/>
      </tp>
      <tp t="s">
        <v>#N/A N/A</v>
        <stp/>
        <stp>BDP|18263609007522663710</stp>
        <tr r="H32" s="1"/>
      </tp>
      <tp t="s">
        <v>#N/A N/A</v>
        <stp/>
        <stp>BDP|18156979263028191404</stp>
        <tr r="F7" s="1"/>
      </tp>
      <tp t="s">
        <v>#N/A N/A</v>
        <stp/>
        <stp>BDP|17035982224235298296</stp>
        <tr r="G107" s="1"/>
        <tr r="G162" s="1"/>
      </tp>
      <tp t="s">
        <v>#N/A N/A</v>
        <stp/>
        <stp>BDP|17465874740179692937</stp>
        <tr r="I76" s="1"/>
      </tp>
      <tp t="s">
        <v>#N/A N/A</v>
        <stp/>
        <stp>BDP|12222294985706420631</stp>
        <tr r="G34" s="1"/>
      </tp>
      <tp t="s">
        <v>#N/A N/A</v>
        <stp/>
        <stp>BDP|16879912656027418508</stp>
        <tr r="I122" s="1"/>
        <tr r="I158" s="1"/>
      </tp>
      <tp t="s">
        <v>#N/A N/A</v>
        <stp/>
        <stp>BDP|10432572110279743596</stp>
        <tr r="H24" s="1"/>
      </tp>
      <tp t="s">
        <v>#N/A N/A</v>
        <stp/>
        <stp>BDP|13868000936769524167</stp>
        <tr r="H160" s="1"/>
        <tr r="H95" s="1"/>
      </tp>
      <tp t="s">
        <v>#N/A N/A</v>
        <stp/>
        <stp>BDP|12566616676148514390</stp>
        <tr r="I57" s="1"/>
      </tp>
      <tp t="s">
        <v>#N/A N/A</v>
        <stp/>
        <stp>BDP|18396117257281178579</stp>
        <tr r="I24" s="1"/>
      </tp>
      <tp t="s">
        <v>#N/A N/A</v>
        <stp/>
        <stp>BDP|11304051795266675666</stp>
        <tr r="G9" s="1"/>
      </tp>
      <tp t="s">
        <v>#N/A N/A</v>
        <stp/>
        <stp>BDP|10317869427554620661</stp>
        <tr r="F69" s="1"/>
      </tp>
      <tp t="s">
        <v>#N/A N/A</v>
        <stp/>
        <stp>BDP|16633579691362211008</stp>
        <tr r="G21" s="1"/>
      </tp>
      <tp t="s">
        <v>#N/A N/A</v>
        <stp/>
        <stp>BDP|15085897643651715085</stp>
        <tr r="F70" s="1"/>
      </tp>
      <tp t="s">
        <v>#N/A N/A</v>
        <stp/>
        <stp>BDP|13089192544937942914</stp>
        <tr r="G33" s="1"/>
      </tp>
      <tp t="s">
        <v>#N/A N/A</v>
        <stp/>
        <stp>BDP|13658635662708608374</stp>
        <tr r="H88" s="1"/>
      </tp>
      <tp t="s">
        <v>#N/A N/A</v>
        <stp/>
        <stp>BDP|18367169832057936441</stp>
        <tr r="H14" s="1"/>
      </tp>
      <tp t="s">
        <v>#N/A N/A</v>
        <stp/>
        <stp>BDP|17967645680293544326</stp>
        <tr r="I43" s="1"/>
      </tp>
      <tp t="s">
        <v>#N/A N/A</v>
        <stp/>
        <stp>BDP|11428665198400171716</stp>
        <tr r="H70" s="1"/>
      </tp>
      <tp t="s">
        <v>#N/A N/A</v>
        <stp/>
        <stp>BDP|11111916929647356406</stp>
        <tr r="F61" s="1"/>
      </tp>
      <tp t="s">
        <v>#N/A N/A</v>
        <stp/>
        <stp>BDP|17410726543799145496</stp>
        <tr r="G122" s="1"/>
        <tr r="G158" s="1"/>
      </tp>
      <tp t="s">
        <v>#N/A N/A</v>
        <stp/>
        <stp>BDP|11110931246987971224</stp>
        <tr r="H27" s="1"/>
      </tp>
      <tp t="s">
        <v>#N/A N/A</v>
        <stp/>
        <stp>BDP|17162718999594583429</stp>
        <tr r="I89" s="1"/>
        <tr r="I6" s="1"/>
        <tr r="I135" s="1"/>
      </tp>
      <tp t="s">
        <v>#N/A N/A</v>
        <stp/>
        <stp>BDP|18437058545455880024</stp>
        <tr r="F99" s="1"/>
        <tr r="F161" s="1"/>
      </tp>
      <tp t="s">
        <v>#N/A N/A</v>
        <stp/>
        <stp>BDP|15800632830191839827</stp>
        <tr r="H165" s="1"/>
        <tr r="H86" s="1"/>
      </tp>
      <tp t="s">
        <v>#N/A N/A</v>
        <stp/>
        <stp>BDP|10271161881815773526</stp>
        <tr r="I29" s="1"/>
      </tp>
      <tp t="s">
        <v>#N/A N/A</v>
        <stp/>
        <stp>BDP|11520856855964408119</stp>
        <tr r="H33" s="1"/>
      </tp>
      <tp t="s">
        <v>#N/A N/A</v>
        <stp/>
        <stp>BDP|17444773587167200659</stp>
        <tr r="I10" s="1"/>
      </tp>
      <tp t="s">
        <v>#N/A N/A</v>
        <stp/>
        <stp>BDP|13675246067529158711</stp>
        <tr r="H126" s="1"/>
        <tr r="H164" s="1"/>
      </tp>
      <tp t="s">
        <v>#N/A N/A</v>
        <stp/>
        <stp>BDP|15318741490847094525</stp>
        <tr r="H72" s="1"/>
      </tp>
      <tp t="s">
        <v>#N/A N/A</v>
        <stp/>
        <stp>BDP|15969555199982880296</stp>
        <tr r="H103" s="1"/>
        <tr r="H152" s="1"/>
      </tp>
      <tp t="s">
        <v>#N/A N/A</v>
        <stp/>
        <stp>BDP|15493128885716616324</stp>
        <tr r="F167" s="1"/>
        <tr r="F110" s="1"/>
      </tp>
      <tp t="s">
        <v>#N/A N/A</v>
        <stp/>
        <stp>BDP|17304601074280899871</stp>
        <tr r="I72" s="1"/>
      </tp>
      <tp t="s">
        <v>#N/A N/A</v>
        <stp/>
        <stp>BDP|15538036951628902661</stp>
        <tr r="G84" s="1"/>
      </tp>
      <tp t="s">
        <v>#N/A N/A</v>
        <stp/>
        <stp>BDP|11283518398295699659</stp>
        <tr r="G42" s="1"/>
      </tp>
      <tp t="s">
        <v>#N/A N/A</v>
        <stp/>
        <stp>BDP|13267459415619993106</stp>
        <tr r="I54" s="1"/>
      </tp>
      <tp t="s">
        <v>#N/A N/A</v>
        <stp/>
        <stp>BDP|12202474187651834117</stp>
        <tr r="G104" s="1"/>
      </tp>
      <tp t="s">
        <v>#N/A N/A</v>
        <stp/>
        <stp>BDP|15337893636647328757</stp>
        <tr r="H137" s="1"/>
        <tr r="H91" s="1"/>
      </tp>
      <tp t="s">
        <v>#N/A N/A</v>
        <stp/>
        <stp>BDP|10770860971981391091</stp>
        <tr r="F80" s="1"/>
      </tp>
      <tp t="s">
        <v>#N/A N/A</v>
        <stp/>
        <stp>BDP|12108508636378941217</stp>
        <tr r="F13" s="1"/>
      </tp>
      <tp t="s">
        <v>#N/A N/A</v>
        <stp/>
        <stp>BDP|11980249778972834826</stp>
        <tr r="I31" s="1"/>
      </tp>
      <tp t="s">
        <v>#N/A N/A</v>
        <stp/>
        <stp>BDP|14100008293952766155</stp>
        <tr r="I25" s="1"/>
      </tp>
      <tp t="s">
        <v>#N/A N/A</v>
        <stp/>
        <stp>BDP|17947329418752879984</stp>
        <tr r="H158" s="1"/>
        <tr r="H122" s="1"/>
      </tp>
      <tp t="s">
        <v>#N/A N/A</v>
        <stp/>
        <stp>BDP|17444811216610978090</stp>
        <tr r="I82" s="1"/>
      </tp>
      <tp t="s">
        <v>#N/A N/A</v>
        <stp/>
        <stp>BDP|18079600139406859539</stp>
        <tr r="G56" s="1"/>
      </tp>
      <tp t="s">
        <v>#N/A N/A</v>
        <stp/>
        <stp>BDP|10067482741206571889</stp>
        <tr r="I63" s="1"/>
      </tp>
      <tp t="s">
        <v>#N/A N/A</v>
        <stp/>
        <stp>BDP|17105429296177527347</stp>
        <tr r="G121" s="1"/>
        <tr r="G157" s="1"/>
        <tr r="G171" s="1"/>
      </tp>
      <tp t="s">
        <v>#N/A N/A</v>
        <stp/>
        <stp>BDP|14437961788542634987</stp>
        <tr r="F143" s="1"/>
        <tr r="F106" s="1"/>
      </tp>
      <tp t="s">
        <v>#N/A N/A</v>
        <stp/>
        <stp>BDP|12744002371093942887</stp>
        <tr r="G53" s="1"/>
      </tp>
      <tp t="s">
        <v>#N/A N/A</v>
        <stp/>
        <stp>BDP|14609674990407552224</stp>
        <tr r="H13" s="1"/>
      </tp>
      <tp t="s">
        <v>#N/A N/A</v>
        <stp/>
        <stp>BDP|18088739648517987392</stp>
        <tr r="I13" s="1"/>
      </tp>
      <tp t="s">
        <v>#N/A N/A</v>
        <stp/>
        <stp>BDP|13882274226928232407</stp>
        <tr r="H63" s="1"/>
      </tp>
      <tp t="s">
        <v>#N/A N/A</v>
        <stp/>
        <stp>BDP|11634352193444899051</stp>
        <tr r="G11" s="1"/>
      </tp>
      <tp t="s">
        <v>#N/A N/A</v>
        <stp/>
        <stp>BDP|16225352245497779980</stp>
        <tr r="H66" s="1"/>
        <tr r="H93" s="1"/>
        <tr r="H138" s="1"/>
      </tp>
      <tp t="s">
        <v>#N/A N/A</v>
        <stp/>
        <stp>BDP|18055679812250870014</stp>
        <tr r="F68" s="1"/>
      </tp>
      <tp t="s">
        <v>#N/A N/A</v>
        <stp/>
        <stp>BDP|11842233782332118683</stp>
        <tr r="F11" s="1"/>
      </tp>
      <tp t="s">
        <v>#N/A N/A</v>
        <stp/>
        <stp>BDP|13981969341991935022</stp>
        <tr r="H120" s="1"/>
        <tr r="H156" s="1"/>
      </tp>
      <tp t="s">
        <v>#N/A N/A</v>
        <stp/>
        <stp>BDP|15067147224151473811</stp>
        <tr r="I33" s="1"/>
      </tp>
      <tp t="s">
        <v>#N/A N/A</v>
        <stp/>
        <stp>BDP|13187841304334776025</stp>
        <tr r="F105" s="1"/>
        <tr r="F142" s="1"/>
      </tp>
      <tp t="s">
        <v>#N/A N/A</v>
        <stp/>
        <stp>BDP|10585723083219004908</stp>
        <tr r="H76" s="1"/>
      </tp>
      <tp t="s">
        <v>#N/A N/A</v>
        <stp/>
        <stp>BDP|16300752525198685427</stp>
        <tr r="I83" s="1"/>
      </tp>
      <tp t="s">
        <v>#N/A N/A</v>
        <stp/>
        <stp>BDP|17366946796400417824</stp>
        <tr r="G140" s="1"/>
        <tr r="G97" s="1"/>
      </tp>
      <tp t="s">
        <v>#N/A N/A</v>
        <stp/>
        <stp>BDP|10731676331393373945</stp>
        <tr r="H96" s="1"/>
      </tp>
      <tp t="s">
        <v>#N/A N/A</v>
        <stp/>
        <stp>BDP|11519811449453386266</stp>
        <tr r="I37" s="1"/>
        <tr r="I44" s="1"/>
      </tp>
      <tp t="s">
        <v>#N/A N/A</v>
        <stp/>
        <stp>BDP|10690362833305928920</stp>
        <tr r="G71" s="1"/>
      </tp>
      <tp t="s">
        <v>#N/A N/A</v>
        <stp/>
        <stp>BDP|16807852527549480960</stp>
        <tr r="I50" s="1"/>
      </tp>
      <tp t="s">
        <v>#N/A N/A</v>
        <stp/>
        <stp>BDP|17951815127086521773</stp>
        <tr r="I142" s="1"/>
        <tr r="I105" s="1"/>
      </tp>
      <tp t="s">
        <v>#N/A N/A</v>
        <stp/>
        <stp>BDP|13653196594093537419</stp>
        <tr r="H136" s="1"/>
        <tr r="H90" s="1"/>
      </tp>
      <tp t="s">
        <v>#N/A N/A</v>
        <stp/>
        <stp>BDP|11982859424067035066</stp>
        <tr r="G40" s="1"/>
      </tp>
      <tp t="s">
        <v>#N/A N/A</v>
        <stp/>
        <stp>BDP|10175009798910926517</stp>
        <tr r="F117" s="1"/>
        <tr r="F147" s="1"/>
      </tp>
      <tp t="s">
        <v>#N/A N/A</v>
        <stp/>
        <stp>BDP|18034079750587227657</stp>
        <tr r="F60" s="1"/>
      </tp>
      <tp t="s">
        <v>#N/A N/A</v>
        <stp/>
        <stp>BDP|13920524480791376389</stp>
        <tr r="G63" s="1"/>
      </tp>
      <tp t="s">
        <v>#N/A N/A</v>
        <stp/>
        <stp>BDP|16117673552201347876</stp>
        <tr r="H161" s="1"/>
        <tr r="H99" s="1"/>
      </tp>
      <tp t="s">
        <v>#N/A N/A</v>
        <stp/>
        <stp>BDP|12841912608646650174</stp>
        <tr r="H28" s="1"/>
      </tp>
      <tp t="s">
        <v>#N/A N/A</v>
        <stp/>
        <stp>BDP|17001908351690560771</stp>
        <tr r="F156" s="1"/>
        <tr r="F120" s="1"/>
      </tp>
      <tp t="s">
        <v>#N/A N/A</v>
        <stp/>
        <stp>BDP|16643646881022790678</stp>
        <tr r="H102" s="1"/>
        <tr r="H166" s="1"/>
      </tp>
      <tp t="s">
        <v>#N/A N/A</v>
        <stp/>
        <stp>BDP|13907706508601531971</stp>
        <tr r="F75" s="1"/>
      </tp>
      <tp t="s">
        <v>#N/A N/A</v>
        <stp/>
        <stp>BDP|15603448978732971810</stp>
        <tr r="I20" s="1"/>
      </tp>
      <tp t="s">
        <v>#N/A N/A</v>
        <stp/>
        <stp>BDP|15070963984190561853</stp>
        <tr r="F100" s="1"/>
      </tp>
      <tp t="s">
        <v>#N/A N/A</v>
        <stp/>
        <stp>BDP|15612454908985740897</stp>
        <tr r="H142" s="1"/>
        <tr r="H105" s="1"/>
      </tp>
      <tp t="s">
        <v>#N/A N/A</v>
        <stp/>
        <stp>BDP|13383020855922035811</stp>
        <tr r="F42" s="1"/>
      </tp>
      <tp t="s">
        <v>#N/A N/A</v>
        <stp/>
        <stp>BDP|14479412444328240061</stp>
        <tr r="F44" s="1"/>
        <tr r="F37" s="1"/>
      </tp>
      <tp t="s">
        <v>#N/A N/A</v>
        <stp/>
        <stp>BDP|10104051742671302904</stp>
        <tr r="H80" s="1"/>
      </tp>
      <tp t="s">
        <v>#N/A N/A</v>
        <stp/>
        <stp>BDP|17727003393133311120</stp>
        <tr r="H30" s="1"/>
      </tp>
      <tp t="s">
        <v>#N/A N/A</v>
        <stp/>
        <stp>BDP|18193933486276465343</stp>
        <tr r="H74" s="1"/>
      </tp>
      <tp t="s">
        <v>#N/A N/A</v>
        <stp/>
        <stp>BDP|14356046897144682528</stp>
        <tr r="G172" s="1"/>
        <tr r="G123" s="1"/>
      </tp>
      <tp t="s">
        <v>#N/A N/A</v>
        <stp/>
        <stp>BDP|16863146989724208680</stp>
        <tr r="I112" s="1"/>
        <tr r="I153" s="1"/>
      </tp>
      <tp t="s">
        <v>#N/A N/A</v>
        <stp/>
        <stp>BDP|14546094181183120226</stp>
        <tr r="F65" s="1"/>
      </tp>
      <tp t="s">
        <v>#N/A N/A</v>
        <stp/>
        <stp>BDP|14055000191554521450</stp>
        <tr r="F88" s="1"/>
      </tp>
      <tp t="s">
        <v>#N/A N/A</v>
        <stp/>
        <stp>BDP|18080374795686357912</stp>
        <tr r="I109" s="1"/>
        <tr r="I145" s="1"/>
        <tr r="I67" s="1"/>
      </tp>
      <tp t="s">
        <v>#N/A N/A</v>
        <stp/>
        <stp>BDP|11813060397510304592</stp>
        <tr r="G74" s="1"/>
      </tp>
      <tp t="s">
        <v>#N/A N/A</v>
        <stp/>
        <stp>BDP|15471561607949014475</stp>
        <tr r="H22" s="1"/>
      </tp>
      <tp t="s">
        <v>#N/A N/A</v>
        <stp/>
        <stp>BDP|16042112364168578429</stp>
        <tr r="I70" s="1"/>
      </tp>
      <tp t="s">
        <v>#N/A N/A</v>
        <stp/>
        <stp>BDP|14412993160330923664</stp>
        <tr r="G51" s="1"/>
      </tp>
      <tp t="s">
        <v>#N/A N/A</v>
        <stp/>
        <stp>BDP|10228562245528428408</stp>
        <tr r="F20" s="1"/>
      </tp>
      <tp t="s">
        <v>#N/A N/A</v>
        <stp/>
        <stp>BDP|18301098058750750011</stp>
        <tr r="G82" s="1"/>
      </tp>
      <tp t="s">
        <v>#N/A N/A</v>
        <stp/>
        <stp>BDP|14183434913289035552</stp>
        <tr r="I111" s="1"/>
        <tr r="I132" s="1"/>
        <tr r="I39" s="1"/>
        <tr r="I146" s="1"/>
      </tp>
      <tp t="s">
        <v>#N/A N/A</v>
        <stp/>
        <stp>BDP|12946035295834391280</stp>
        <tr r="F101" s="1"/>
        <tr r="F130" s="1"/>
        <tr r="F141" s="1"/>
        <tr r="F36" s="1"/>
      </tp>
      <tp t="s">
        <v>#N/A N/A</v>
        <stp/>
        <stp>BDP|10859893564005863695</stp>
        <tr r="F128" s="1"/>
        <tr r="F133" s="1"/>
        <tr r="F150" s="1"/>
      </tp>
      <tp t="s">
        <v>#N/A N/A</v>
        <stp/>
        <stp>BDP|11256761907742607929</stp>
        <tr r="G112" s="1"/>
        <tr r="G153" s="1"/>
      </tp>
      <tp t="s">
        <v>#N/A N/A</v>
        <stp/>
        <stp>BDP|18259342056372145167</stp>
        <tr r="F165" s="1"/>
        <tr r="F86" s="1"/>
      </tp>
      <tp t="s">
        <v>#N/A N/A</v>
        <stp/>
        <stp>BDP|14360645185541213669</stp>
        <tr r="G116" s="1"/>
        <tr r="G170" s="1"/>
      </tp>
      <tp t="s">
        <v>#N/A N/A</v>
        <stp/>
        <stp>BDP|13306620168542138310</stp>
        <tr r="I151" s="1"/>
        <tr r="I98" s="1"/>
      </tp>
      <tp t="s">
        <v>#N/A N/A</v>
        <stp/>
        <stp>BDP|14000423053400909732</stp>
        <tr r="F126" s="1"/>
        <tr r="F164" s="1"/>
      </tp>
      <tp t="s">
        <v>#N/A N/A</v>
        <stp/>
        <stp>BDP|10835044726527985791</stp>
        <tr r="H61" s="1"/>
      </tp>
      <tp t="s">
        <v>#N/A N/A</v>
        <stp/>
        <stp>BDP|14929542997308980291</stp>
        <tr r="I62" s="1"/>
      </tp>
      <tp t="s">
        <v>#N/A N/A</v>
        <stp/>
        <stp>BDP|15788653048943520628</stp>
        <tr r="H82" s="1"/>
      </tp>
      <tp t="s">
        <v>#N/A N/A</v>
        <stp/>
        <stp>BDP|13836426013627336341</stp>
        <tr r="G136" s="1"/>
        <tr r="G90" s="1"/>
      </tp>
      <tp t="s">
        <v>#N/A N/A</v>
        <stp/>
        <stp>BDP|12470046974634223383</stp>
        <tr r="F109" s="1"/>
        <tr r="F145" s="1"/>
        <tr r="F67" s="1"/>
      </tp>
      <tp t="s">
        <v>#N/A N/A</v>
        <stp/>
        <stp>BDP|11441277522756947584</stp>
        <tr r="F45" s="1"/>
      </tp>
      <tp t="s">
        <v>#N/A N/A</v>
        <stp/>
        <stp>BDP|17029163936187213019</stp>
        <tr r="H134" s="1"/>
        <tr r="H87" s="1"/>
      </tp>
      <tp t="s">
        <v>#N/A N/A</v>
        <stp/>
        <stp>BDP|13320659473502108272</stp>
        <tr r="H100" s="1"/>
      </tp>
      <tp t="s">
        <v>#N/A N/A</v>
        <stp/>
        <stp>BDP|12947592476284052655</stp>
        <tr r="G88" s="1"/>
      </tp>
      <tp t="s">
        <v>#N/A N/A</v>
        <stp/>
        <stp>BDP|13170868762166206925</stp>
        <tr r="H92" s="1"/>
      </tp>
      <tp t="s">
        <v>#N/A N/A</v>
        <stp/>
        <stp>BDP|15859294940881460015</stp>
        <tr r="I8" s="1"/>
        <tr r="I15" s="1"/>
      </tp>
      <tp t="s">
        <v>#N/A N/A</v>
        <stp/>
        <stp>BDP|17376153775673732029</stp>
        <tr r="I120" s="1"/>
        <tr r="I156" s="1"/>
      </tp>
      <tp t="s">
        <v>#N/A N/A</v>
        <stp/>
        <stp>BDP|17137396413557149136</stp>
        <tr r="G7" s="1"/>
      </tp>
      <tp t="s">
        <v>#N/A N/A</v>
        <stp/>
        <stp>BDP|16326394506871481754</stp>
        <tr r="I69" s="1"/>
      </tp>
      <tp t="s">
        <v>#N/A N/A</v>
        <stp/>
        <stp>BDP|15242519786152138953</stp>
        <tr r="I51" s="1"/>
      </tp>
      <tp t="s">
        <v>#N/A N/A</v>
        <stp/>
        <stp>BDP|15414661102947281778</stp>
        <tr r="G141" s="1"/>
        <tr r="G101" s="1"/>
        <tr r="G130" s="1"/>
        <tr r="G36" s="1"/>
      </tp>
      <tp t="s">
        <v>#N/A N/A</v>
        <stp/>
        <stp>BDP|10059797912332759782</stp>
        <tr r="F85" s="1"/>
      </tp>
      <tp t="s">
        <v>#N/A N/A</v>
        <stp/>
        <stp>BDP|17959482515503426279</stp>
        <tr r="I106" s="1"/>
        <tr r="I143" s="1"/>
      </tp>
      <tp t="s">
        <v>#N/A N/A</v>
        <stp/>
        <stp>BDP|13624344586872309913</stp>
        <tr r="I95" s="1"/>
        <tr r="I160" s="1"/>
      </tp>
      <tp t="s">
        <v>#N/A N/A</v>
        <stp/>
        <stp>BDP|13641460923000037653</stp>
        <tr r="H118" s="1"/>
        <tr r="H148" s="1"/>
      </tp>
      <tp t="s">
        <v>#N/A N/A</v>
        <stp/>
        <stp>BDP|17859475694542430865</stp>
        <tr r="H12" s="1"/>
      </tp>
      <tp t="s">
        <v>#N/A N/A</v>
        <stp/>
        <stp>BDP|17601079948027445448</stp>
        <tr r="I115" s="1"/>
      </tp>
      <tp t="s">
        <v>#N/A N/A</v>
        <stp/>
        <stp>BDP|17636296141596307745</stp>
        <tr r="F58" s="1"/>
      </tp>
      <tp t="s">
        <v>#N/A N/A</v>
        <stp/>
        <stp>BDP|13325027740074915303</stp>
        <tr r="G28" s="1"/>
      </tp>
      <tp t="s">
        <v>#N/A N/A</v>
        <stp/>
        <stp>BDP|18141919075993041598</stp>
        <tr r="H42" s="1"/>
      </tp>
      <tp t="s">
        <v>#N/A N/A</v>
        <stp/>
        <stp>BDP|16136897041302604809</stp>
        <tr r="I80" s="1"/>
      </tp>
      <tp t="s">
        <v>#N/A N/A</v>
        <stp/>
        <stp>BDP|13210590422917364345</stp>
        <tr r="I117" s="1"/>
        <tr r="I147" s="1"/>
      </tp>
      <tp t="s">
        <v>#N/A N/A</v>
        <stp/>
        <stp>BDP|11123735163859740970</stp>
        <tr r="G70" s="1"/>
      </tp>
      <tp t="s">
        <v>#N/A N/A</v>
        <stp/>
        <stp>BDP|16859690441110880493</stp>
        <tr r="H7" s="1"/>
      </tp>
      <tp t="s">
        <v>#N/A N/A</v>
        <stp/>
        <stp>BDP|13473049501116113513</stp>
        <tr r="G37" s="1"/>
        <tr r="G44" s="1"/>
      </tp>
      <tp t="s">
        <v>#N/A N/A</v>
        <stp/>
        <stp>BDP|11464208827184193537</stp>
        <tr r="F18" s="1"/>
      </tp>
      <tp t="s">
        <v>#N/A N/A</v>
        <stp/>
        <stp>BDP|14570638272291236440</stp>
        <tr r="H113" s="1"/>
        <tr r="H154" s="1"/>
      </tp>
      <tp t="s">
        <v>#N/A N/A</v>
        <stp/>
        <stp>BDP|15071574326575453773</stp>
        <tr r="G19" s="1"/>
      </tp>
      <tp t="s">
        <v>#N/A N/A</v>
        <stp/>
        <stp>BDP|18316032690599554816</stp>
        <tr r="H58" s="1"/>
      </tp>
      <tp t="s">
        <v>#N/A N/A</v>
        <stp/>
        <stp>BDP|15265842591184351030</stp>
        <tr r="H150" s="1"/>
        <tr r="H128" s="1"/>
        <tr r="H133" s="1"/>
      </tp>
      <tp t="s">
        <v>#N/A N/A</v>
        <stp/>
        <stp>BDP|17934193937866833265</stp>
        <tr r="G5" s="1"/>
      </tp>
      <tp t="s">
        <v>#N/A N/A</v>
        <stp/>
        <stp>BDP|13511087856265567275</stp>
        <tr r="G149" s="1"/>
        <tr r="G124" s="1"/>
      </tp>
      <tp t="s">
        <v>#N/A N/A</v>
        <stp/>
        <stp>BDP|14505617876003250789</stp>
        <tr r="I137" s="1"/>
        <tr r="I91" s="1"/>
      </tp>
      <tp t="s">
        <v>#N/A N/A</v>
        <stp/>
        <stp>BDP|17211188315394795238</stp>
        <tr r="F59" s="1"/>
      </tp>
      <tp t="s">
        <v>#N/A N/A</v>
        <stp/>
        <stp>BDP|18165097022082946984</stp>
        <tr r="H17" s="1"/>
      </tp>
      <tp t="s">
        <v>#N/A N/A</v>
        <stp/>
        <stp>BDP|16915486620498280999</stp>
        <tr r="H41" s="1"/>
      </tp>
      <tp t="s">
        <v>#N/A N/A</v>
        <stp/>
        <stp>BDP|14769344829827648303</stp>
        <tr r="G119" s="1"/>
        <tr r="G163" s="1"/>
      </tp>
      <tp t="s">
        <v>#N/A N/A</v>
        <stp/>
        <stp>BDP|14085254297616852868</stp>
        <tr r="F114" s="1"/>
        <tr r="F155" s="1"/>
      </tp>
      <tp t="s">
        <v>#N/A N/A</v>
        <stp/>
        <stp>BDP|12064872999231239320</stp>
        <tr r="F28" s="1"/>
      </tp>
      <tp t="s">
        <v>#N/A N/A</v>
        <stp/>
        <stp>BDP|15067416094258285160</stp>
        <tr r="F46" s="1"/>
      </tp>
      <tp t="s">
        <v>#N/A N/A</v>
        <stp/>
        <stp>BDP|11652971825128108355</stp>
        <tr r="G77" s="1"/>
      </tp>
      <tp t="s">
        <v>#N/A N/A</v>
        <stp/>
        <stp>BDP|11398248300975589763</stp>
        <tr r="H71" s="1"/>
      </tp>
      <tp t="s">
        <v>#N/A N/A</v>
        <stp/>
        <stp>BDP|11489895918388540162</stp>
        <tr r="G14" s="1"/>
      </tp>
      <tp t="s">
        <v>#N/A N/A</v>
        <stp/>
        <stp>BDP|12895311836475003174</stp>
        <tr r="I40" s="1"/>
      </tp>
      <tp t="s">
        <v>#N/A N/A</v>
        <stp/>
        <stp>BDP|12293555314619331989</stp>
        <tr r="F127" s="1"/>
        <tr r="F169" s="1"/>
      </tp>
      <tp t="s">
        <v>#N/A N/A</v>
        <stp/>
        <stp>BDP|13157685061374156111</stp>
        <tr r="F43" s="1"/>
      </tp>
      <tp t="s">
        <v>#N/A N/A</v>
        <stp/>
        <stp>BDP|16571434606260292483</stp>
        <tr r="G133" s="1"/>
        <tr r="G128" s="1"/>
        <tr r="G150" s="1"/>
      </tp>
      <tp t="s">
        <v>#N/A N/A</v>
        <stp/>
        <stp>BDP|15631208567063996426</stp>
        <tr r="F6" s="1"/>
        <tr r="F135" s="1"/>
        <tr r="F89" s="1"/>
      </tp>
      <tp t="s">
        <v>#N/A N/A</v>
        <stp/>
        <stp>BDP|15219599311045137260</stp>
        <tr r="F21" s="1"/>
      </tp>
      <tp t="s">
        <v>#N/A N/A</v>
        <stp/>
        <stp>BDP|13991479382779404049</stp>
        <tr r="I45" s="1"/>
      </tp>
      <tp t="s">
        <v>#N/A N/A</v>
        <stp/>
        <stp>BDP|14448597716282730438</stp>
        <tr r="G142" s="1"/>
        <tr r="G105" s="1"/>
      </tp>
      <tp t="s">
        <v>#N/A N/A</v>
        <stp/>
        <stp>BDP|16485490245756700607</stp>
        <tr r="H123" s="1"/>
        <tr r="H172" s="1"/>
      </tp>
      <tp t="s">
        <v>#N/A N/A</v>
        <stp/>
        <stp>BDP|17425328715900014305</stp>
        <tr r="G50" s="1"/>
      </tp>
      <tp t="s">
        <v>#N/A N/A</v>
        <stp/>
        <stp>BDP|16435359005320071306</stp>
        <tr r="H79" s="1"/>
      </tp>
      <tp t="s">
        <v>#N/A N/A</v>
        <stp/>
        <stp>BDP|15648368200019395977</stp>
        <tr r="G117" s="1"/>
        <tr r="G147" s="1"/>
      </tp>
      <tp t="s">
        <v>#N/A N/A</v>
        <stp/>
        <stp>BDP|15617455450513436112</stp>
        <tr r="H9" s="1"/>
      </tp>
      <tp t="s">
        <v>#N/A N/A</v>
        <stp/>
        <stp>BDP|11716023334160710406</stp>
        <tr r="F111" s="1"/>
        <tr r="F132" s="1"/>
        <tr r="F146" s="1"/>
        <tr r="F39" s="1"/>
      </tp>
      <tp t="s">
        <v>#N/A N/A</v>
        <stp/>
        <stp>BDP|14864040934881741125</stp>
        <tr r="I127" s="1"/>
        <tr r="I169" s="1"/>
      </tp>
      <tp t="s">
        <v>#N/A N/A</v>
        <stp/>
        <stp>BDP|17521378078967038373</stp>
        <tr r="H115" s="1"/>
      </tp>
      <tp t="s">
        <v>#N/A N/A</v>
        <stp/>
        <stp>BDP|17080280407486970492</stp>
        <tr r="G22" s="1"/>
      </tp>
      <tp t="s">
        <v>#N/A N/A</v>
        <stp/>
        <stp>BDP|15111404011995702269</stp>
        <tr r="H26" s="1"/>
      </tp>
      <tp t="s">
        <v>#N/A N/A</v>
        <stp/>
        <stp>BDP|14642727736653249434</stp>
        <tr r="G91" s="1"/>
        <tr r="G137" s="1"/>
      </tp>
      <tp t="s">
        <v>#N/A N/A</v>
        <stp/>
        <stp>BDP|10882605409119659828</stp>
        <tr r="G125" s="1"/>
        <tr r="G159" s="1"/>
        <tr r="G168" s="1"/>
      </tp>
      <tp t="s">
        <v>#N/A N/A</v>
        <stp/>
        <stp>BDP|17203437164970668243</stp>
        <tr r="G95" s="1"/>
        <tr r="G160" s="1"/>
      </tp>
      <tp t="s">
        <v>#N/A N/A</v>
        <stp/>
        <stp>BDP|17861008799069642001</stp>
        <tr r="I164" s="1"/>
        <tr r="I126" s="1"/>
      </tp>
      <tp t="s">
        <v>#N/A N/A</v>
        <stp/>
        <stp>BDP|17647566122275742235</stp>
        <tr r="H110" s="1"/>
        <tr r="H167" s="1"/>
      </tp>
      <tp t="s">
        <v>#N/A N/A</v>
        <stp/>
        <stp>BDP|14181184303717575661</stp>
        <tr r="F123" s="1"/>
        <tr r="F172" s="1"/>
      </tp>
      <tp t="s">
        <v>#N/A N/A</v>
        <stp/>
        <stp>BDP|15687016257887889328</stp>
        <tr r="F30" s="1"/>
      </tp>
      <tp t="s">
        <v>#N/A N/A</v>
        <stp/>
        <stp>BDP|11213742389978392209</stp>
        <tr r="G110" s="1"/>
        <tr r="G167" s="1"/>
      </tp>
      <tp t="s">
        <v>#N/A N/A</v>
        <stp/>
        <stp>BDP|10030139329197759010</stp>
        <tr r="I41" s="1"/>
      </tp>
      <tp t="s">
        <v>#N/A N/A</v>
        <stp/>
        <stp>BDP|12369280541801607131</stp>
        <tr r="I26" s="1"/>
      </tp>
      <tp t="s">
        <v>#N/A N/A</v>
        <stp/>
        <stp>BDP|15165169363966572008</stp>
        <tr r="I86" s="1"/>
        <tr r="I165" s="1"/>
      </tp>
      <tp t="s">
        <v>#N/A N/A</v>
        <stp/>
        <stp>BDP|12548316203026092351</stp>
        <tr r="F78" s="1"/>
      </tp>
      <tp t="s">
        <v>#N/A N/A</v>
        <stp/>
        <stp>BDP|15820217731517888747</stp>
        <tr r="I123" s="1"/>
        <tr r="I172" s="1"/>
      </tp>
      <tp t="s">
        <v>#N/A N/A</v>
        <stp/>
        <stp>BDP|13294903830789772419</stp>
        <tr r="I55" s="1"/>
      </tp>
      <tp t="s">
        <v>#N/A N/A</v>
        <stp/>
        <stp>BDP|15283010653217682319</stp>
        <tr r="G31" s="1"/>
      </tp>
      <tp t="s">
        <v>#N/A N/A</v>
        <stp/>
        <stp>BDP|17752163902677669537</stp>
        <tr r="I96" s="1"/>
      </tp>
      <tp t="s">
        <v>#N/A N/A</v>
        <stp/>
        <stp>BDP|15775731581828542790</stp>
        <tr r="H65" s="1"/>
      </tp>
      <tp t="s">
        <v>#N/A N/A</v>
        <stp/>
        <stp>BDP|14844235244996764101</stp>
        <tr r="G79" s="1"/>
      </tp>
      <tp t="s">
        <v>#N/A N/A</v>
        <stp/>
        <stp>BDP|14621707917654866338</stp>
        <tr r="I75" s="1"/>
      </tp>
      <tp t="s">
        <v>#N/A N/A</v>
        <stp/>
        <stp>BDP|14813404387019114444</stp>
        <tr r="F103" s="1"/>
        <tr r="F152" s="1"/>
      </tp>
      <tp t="s">
        <v>#N/A N/A</v>
        <stp/>
        <stp>BDP|16216544535132683780</stp>
        <tr r="G23" s="1"/>
      </tp>
      <tp t="s">
        <v>#N/A N/A</v>
        <stp/>
        <stp>BDP|15227320730014996451</stp>
        <tr r="I22" s="1"/>
      </tp>
      <tp t="s">
        <v>#N/A N/A</v>
        <stp/>
        <stp>BDP|11882534328656705589</stp>
        <tr r="G65" s="1"/>
      </tp>
      <tp t="s">
        <v>#N/A N/A</v>
        <stp/>
        <stp>BDP|17786404468632493270</stp>
        <tr r="F57" s="1"/>
      </tp>
      <tp t="s">
        <v>#N/A N/A</v>
        <stp/>
        <stp>BDP|17650783672002622051</stp>
        <tr r="I64" s="1"/>
      </tp>
      <tp t="s">
        <v>#N/A N/A</v>
        <stp/>
        <stp>BDP|12389154000023869500</stp>
        <tr r="F17" s="1"/>
      </tp>
      <tp t="s">
        <v>#N/A N/A</v>
        <stp/>
        <stp>BDP|10850826233056174869</stp>
        <tr r="I68" s="1"/>
      </tp>
      <tp t="s">
        <v>#N/A N/A</v>
        <stp/>
        <stp>BDP|10593441322104187729</stp>
        <tr r="H153" s="1"/>
        <tr r="H112" s="1"/>
      </tp>
      <tp t="s">
        <v>#N/A N/A</v>
        <stp/>
        <stp>BDP|11593912254219791177</stp>
        <tr r="H81" s="1"/>
      </tp>
      <tp t="s">
        <v>#N/A N/A</v>
        <stp/>
        <stp>BDP|10217627561164449178</stp>
        <tr r="G24" s="1"/>
      </tp>
      <tp t="s">
        <v>#N/A N/A</v>
        <stp/>
        <stp>BDP|14309660916553712565</stp>
        <tr r="G52" s="1"/>
      </tp>
      <tp t="s">
        <v>#N/A N/A</v>
        <stp/>
        <stp>BDP|12248247876234701629</stp>
        <tr r="F83" s="1"/>
      </tp>
      <tp t="s">
        <v>#N/A N/A</v>
        <stp/>
        <stp>BDP|15935960067486543980</stp>
        <tr r="G115" s="1"/>
      </tp>
      <tp t="s">
        <v>#N/A N/A</v>
        <stp/>
        <stp>BDP|12838715295869190081</stp>
        <tr r="I16" s="1"/>
      </tp>
      <tp t="s">
        <v>#N/A N/A</v>
        <stp/>
        <stp>BDP|18085819774624593641</stp>
        <tr r="F34" s="1"/>
      </tp>
      <tp t="s">
        <v>#N/A N/A</v>
        <stp/>
        <stp>BDP|17248275677071706622</stp>
        <tr r="F50" s="1"/>
      </tp>
    </main>
    <main first="bofaddin.rtdserver">
      <tp t="s">
        <v>#N/A N/A</v>
        <stp/>
        <stp>BDP|4428615702970940</stp>
        <tr r="I14" s="1"/>
      </tp>
      <tp t="s">
        <v>#N/A N/A</v>
        <stp/>
        <stp>BDP|4834185592832116286</stp>
        <tr r="H146" s="1"/>
        <tr r="H39" s="1"/>
        <tr r="H111" s="1"/>
        <tr r="H132" s="1"/>
      </tp>
      <tp t="s">
        <v>#N/A N/A</v>
        <stp/>
        <stp>BDP|8427484273116181154</stp>
        <tr r="I12" s="1"/>
      </tp>
      <tp t="s">
        <v>#N/A N/A</v>
        <stp/>
        <stp>BDP|5054661485307887005</stp>
        <tr r="H37" s="1"/>
        <tr r="H44" s="1"/>
      </tp>
      <tp t="s">
        <v>#N/A N/A</v>
        <stp/>
        <stp>BDP|3715188655259743260</stp>
        <tr r="G100" s="1"/>
      </tp>
      <tp t="s">
        <v>#N/A N/A</v>
        <stp/>
        <stp>BDP|4800667260938145077</stp>
        <tr r="G78" s="1"/>
      </tp>
      <tp t="s">
        <v>#N/A N/A</v>
        <stp/>
        <stp>BDP|9515432165384828327</stp>
        <tr r="F82" s="1"/>
      </tp>
      <tp t="s">
        <v>#N/A N/A</v>
        <stp/>
        <stp>BDP|6315356492881237191</stp>
        <tr r="H25" s="1"/>
      </tp>
      <tp t="s">
        <v>#N/A N/A</v>
        <stp/>
        <stp>BDP|5617535704215995973</stp>
        <tr r="G10" s="1"/>
      </tp>
      <tp t="s">
        <v>#N/A N/A</v>
        <stp/>
        <stp>BDP|7124273514799552183</stp>
        <tr r="I28" s="1"/>
      </tp>
      <tp t="s">
        <v>#N/A N/A</v>
        <stp/>
        <stp>BDP|8570471683641639983</stp>
        <tr r="F16" s="1"/>
      </tp>
      <tp t="s">
        <v>#N/A N/A</v>
        <stp/>
        <stp>BDP|8616329446981736298</stp>
        <tr r="G41" s="1"/>
      </tp>
      <tp t="s">
        <v>#N/A N/A</v>
        <stp/>
        <stp>BDP|8888540707012209359</stp>
        <tr r="G76" s="1"/>
      </tp>
      <tp t="s">
        <v>#N/A N/A</v>
        <stp/>
        <stp>BDP|7218751045511906976</stp>
        <tr r="G48" s="1"/>
      </tp>
      <tp t="s">
        <v>#N/A N/A</v>
        <stp/>
        <stp>BDP|8283441841735234198</stp>
        <tr r="H51" s="1"/>
      </tp>
      <tp t="s">
        <v>#N/A N/A</v>
        <stp/>
        <stp>BDP|3944555392021906258</stp>
        <tr r="F76" s="1"/>
      </tp>
      <tp t="s">
        <v>#N/A N/A</v>
        <stp/>
        <stp>BDP|3930358222328882657</stp>
        <tr r="H29" s="1"/>
      </tp>
      <tp t="s">
        <v>#N/A N/A</v>
        <stp/>
        <stp>BDP|7564213701240783924</stp>
        <tr r="F23" s="1"/>
      </tp>
      <tp t="s">
        <v>#N/A N/A</v>
        <stp/>
        <stp>BDP|2864823138527490262</stp>
        <tr r="F160" s="1"/>
        <tr r="F95" s="1"/>
      </tp>
      <tp t="s">
        <v>#N/A N/A</v>
        <stp/>
        <stp>BDP|9624272644104646724</stp>
        <tr r="F63" s="1"/>
      </tp>
      <tp t="s">
        <v>#N/A N/A</v>
        <stp/>
        <stp>BDP|7092649199622944628</stp>
        <tr r="G80" s="1"/>
      </tp>
      <tp t="s">
        <v>#N/A N/A</v>
        <stp/>
        <stp>BDP|9655910971272513952</stp>
        <tr r="G57" s="1"/>
      </tp>
      <tp t="s">
        <v>#N/A N/A</v>
        <stp/>
        <stp>BDP|3322967452173181013</stp>
        <tr r="G59" s="1"/>
      </tp>
      <tp t="s">
        <v>#N/A N/A</v>
        <stp/>
        <stp>BDP|6316732190480627414</stp>
        <tr r="I148" s="1"/>
        <tr r="I118" s="1"/>
      </tp>
      <tp t="s">
        <v>#N/A N/A</v>
        <stp/>
        <stp>BDP|6768680564683976957</stp>
        <tr r="H10" s="1"/>
      </tp>
      <tp t="s">
        <v>#N/A N/A</v>
        <stp/>
        <stp>BDP|4110856051140088518</stp>
        <tr r="F51" s="1"/>
      </tp>
      <tp t="s">
        <v>#N/A N/A</v>
        <stp/>
        <stp>BDP|1044029568959583377</stp>
        <tr r="H5" s="1"/>
      </tp>
      <tp t="s">
        <v>#N/A N/A</v>
        <stp/>
        <stp>BDP|2778010864169866030</stp>
        <tr r="H56" s="1"/>
      </tp>
      <tp t="s">
        <v>#N/A N/A</v>
        <stp/>
        <stp>BDP|7938851511015079640</stp>
        <tr r="F9" s="1"/>
      </tp>
      <tp t="s">
        <v>#N/A N/A</v>
        <stp/>
        <stp>BDP|9362289838666876374</stp>
        <tr r="H43" s="1"/>
      </tp>
      <tp t="s">
        <v>#N/A N/A</v>
        <stp/>
        <stp>BDP|3423475548127047972</stp>
        <tr r="I102" s="1"/>
        <tr r="I166" s="1"/>
      </tp>
      <tp t="s">
        <v>#N/A N/A</v>
        <stp/>
        <stp>BDP|8451624323465046485</stp>
        <tr r="F25" s="1"/>
      </tp>
      <tp t="s">
        <v>#N/A N/A</v>
        <stp/>
        <stp>BDP|9363420636206182550</stp>
        <tr r="H85" s="1"/>
      </tp>
      <tp t="s">
        <v>#N/A N/A</v>
        <stp/>
        <stp>BDP|1363145960059027244</stp>
        <tr r="H46" s="1"/>
      </tp>
      <tp t="s">
        <v>#N/A N/A</v>
        <stp/>
        <stp>BDP|5698851875600203708</stp>
        <tr r="G8" s="1"/>
        <tr r="G15" s="1"/>
      </tp>
      <tp t="s">
        <v>#N/A N/A</v>
        <stp/>
        <stp>BDP|2784751392079440817</stp>
        <tr r="G29" s="1"/>
      </tp>
      <tp t="s">
        <v>#N/A N/A</v>
        <stp/>
        <stp>BDP|8181603435605731684</stp>
        <tr r="F54" s="1"/>
      </tp>
      <tp t="s">
        <v>#N/A N/A</v>
        <stp/>
        <stp>BDP|4785816239073259233</stp>
        <tr r="G25" s="1"/>
      </tp>
      <tp t="s">
        <v>#N/A N/A</v>
        <stp/>
        <stp>BDP|3545086126556779931</stp>
        <tr r="I48" s="1"/>
      </tp>
      <tp t="s">
        <v>#N/A N/A</v>
        <stp/>
        <stp>BDP|3981423716661838974</stp>
        <tr r="G148" s="1"/>
        <tr r="G118" s="1"/>
      </tp>
      <tp t="s">
        <v>#N/A N/A</v>
        <stp/>
        <stp>BDP|6633944401427169606</stp>
        <tr r="I42" s="1"/>
      </tp>
      <tp t="s">
        <v>#N/A N/A</v>
        <stp/>
        <stp>BDP|8273309021987395001</stp>
        <tr r="G72" s="1"/>
      </tp>
      <tp t="s">
        <v>#N/A N/A</v>
        <stp/>
        <stp>BDP|3522827245779598875</stp>
        <tr r="G27" s="1"/>
      </tp>
      <tp t="s">
        <v>#N/A N/A</v>
        <stp/>
        <stp>BDP|4074414914299611630</stp>
        <tr r="I162" s="1"/>
        <tr r="I107" s="1"/>
      </tp>
      <tp t="s">
        <v>#N/A N/A</v>
        <stp/>
        <stp>BDP|3154367295756266113</stp>
        <tr r="I128" s="1"/>
        <tr r="I133" s="1"/>
        <tr r="I150" s="1"/>
      </tp>
      <tp t="s">
        <v>#N/A N/A</v>
        <stp/>
        <stp>BDP|2775262082630060626</stp>
        <tr r="F49" s="1"/>
      </tp>
      <tp t="s">
        <v>#N/A N/A</v>
        <stp/>
        <stp>BDP|8611106234534051030</stp>
        <tr r="G120" s="1"/>
        <tr r="G156" s="1"/>
      </tp>
      <tp t="s">
        <v>#N/A N/A</v>
        <stp/>
        <stp>BDP|6063539547231302829</stp>
        <tr r="G75" s="1"/>
      </tp>
      <tp t="s">
        <v>#N/A N/A</v>
        <stp/>
        <stp>BDP|5222240572908510799</stp>
        <tr r="F96" s="1"/>
      </tp>
      <tp t="s">
        <v>#N/A N/A</v>
        <stp/>
        <stp>BDP|9252239006932877612</stp>
        <tr r="H98" s="1"/>
        <tr r="H151" s="1"/>
      </tp>
      <tp t="s">
        <v>#N/A N/A</v>
        <stp/>
        <stp>BDP|2462568940839851562</stp>
        <tr r="F56" s="1"/>
      </tp>
      <tp t="s">
        <v>#N/A N/A</v>
        <stp/>
        <stp>BDP|6316504853568764111</stp>
        <tr r="F113" s="1"/>
        <tr r="F154" s="1"/>
      </tp>
      <tp t="s">
        <v>#N/A N/A</v>
        <stp/>
        <stp>BDP|2338003099540872445</stp>
        <tr r="F138" s="1"/>
        <tr r="F93" s="1"/>
        <tr r="F66" s="1"/>
      </tp>
      <tp t="s">
        <v>#N/A N/A</v>
        <stp/>
        <stp>BDP|4261205850884789823</stp>
        <tr r="F5" s="1"/>
      </tp>
      <tp t="s">
        <v>#N/A N/A</v>
        <stp/>
        <stp>BDP|2971192328598449684</stp>
        <tr r="F52" s="1"/>
      </tp>
      <tp t="s">
        <v>#N/A N/A</v>
        <stp/>
        <stp>BDP|2168156691150557558</stp>
        <tr r="I11" s="1"/>
      </tp>
      <tp t="s">
        <v>#N/A N/A</v>
        <stp/>
        <stp>BDP|6035572797250617534</stp>
        <tr r="G87" s="1"/>
        <tr r="G134" s="1"/>
      </tp>
      <tp t="s">
        <v>#N/A N/A</v>
        <stp/>
        <stp>BDP|2232364333098476294</stp>
        <tr r="I27" s="1"/>
      </tp>
      <tp t="s">
        <v>#N/A N/A</v>
        <stp/>
        <stp>BDP|4532214894704098381</stp>
        <tr r="F140" s="1"/>
        <tr r="F97" s="1"/>
      </tp>
      <tp t="s">
        <v>#N/A N/A</v>
        <stp/>
        <stp>BDP|4573541559115861985</stp>
        <tr r="I7" s="1"/>
      </tp>
      <tp t="s">
        <v>#N/A N/A</v>
        <stp/>
        <stp>BDP|9032000002430810138</stp>
        <tr r="G39" s="1"/>
        <tr r="G132" s="1"/>
        <tr r="G146" s="1"/>
        <tr r="G111" s="1"/>
      </tp>
      <tp t="s">
        <v>#N/A N/A</v>
        <stp/>
        <stp>BDP|1876211794663772161</stp>
        <tr r="G165" s="1"/>
        <tr r="G86" s="1"/>
      </tp>
      <tp t="s">
        <v>#N/A N/A</v>
        <stp/>
        <stp>BDP|5892715498825804643</stp>
        <tr r="G30" s="1"/>
      </tp>
      <tp t="s">
        <v>#N/A N/A</v>
        <stp/>
        <stp>BDP|8078266557951136629</stp>
        <tr r="H104" s="1"/>
      </tp>
      <tp t="s">
        <v>#N/A N/A</v>
        <stp/>
        <stp>BDP|3859656988192054755</stp>
        <tr r="I85" s="1"/>
      </tp>
      <tp t="s">
        <v>#N/A N/A</v>
        <stp/>
        <stp>BDP|4736845572781288245</stp>
        <tr r="G18" s="1"/>
      </tp>
      <tp t="s">
        <v>#N/A N/A</v>
        <stp/>
        <stp>BDP|6960870766519456988</stp>
        <tr r="G69" s="1"/>
      </tp>
      <tp t="s">
        <v>#N/A N/A</v>
        <stp/>
        <stp>BDP|7862933567456961606</stp>
        <tr r="G106" s="1"/>
        <tr r="G143" s="1"/>
      </tp>
      <tp t="s">
        <v>#N/A N/A</v>
        <stp/>
        <stp>BDP|8784409757496997613</stp>
        <tr r="H129" s="1"/>
        <tr r="H139" s="1"/>
        <tr r="H35" s="1"/>
        <tr r="H94" s="1"/>
      </tp>
      <tp t="s">
        <v>#N/A N/A</v>
        <stp/>
        <stp>BDP|5029423988902125227</stp>
        <tr r="I119" s="1"/>
        <tr r="I163" s="1"/>
      </tp>
      <tp t="s">
        <v>#N/A N/A</v>
        <stp/>
        <stp>BDP|5836568095366469603</stp>
        <tr r="I110" s="1"/>
        <tr r="I167" s="1"/>
      </tp>
      <tp t="s">
        <v>#N/A N/A</v>
        <stp/>
        <stp>BDP|1696387484250301354</stp>
        <tr r="I65" s="1"/>
      </tp>
      <tp t="s">
        <v>#N/A N/A</v>
        <stp/>
        <stp>BDP|5840542125743060854</stp>
        <tr r="I131" s="1"/>
        <tr r="I144" s="1"/>
        <tr r="I38" s="1"/>
        <tr r="I108" s="1"/>
      </tp>
      <tp t="s">
        <v>#N/A N/A</v>
        <stp/>
        <stp>BDP|8643021571807156193</stp>
        <tr r="G62" s="1"/>
      </tp>
      <tp t="s">
        <v>#N/A N/A</v>
        <stp/>
        <stp>BDP|8938080102437422648</stp>
        <tr r="H31" s="1"/>
      </tp>
      <tp t="s">
        <v>#N/A N/A</v>
        <stp/>
        <stp>BDP|4027005486366164341</stp>
        <tr r="I47" s="1"/>
      </tp>
      <tp t="s">
        <v>#N/A N/A</v>
        <stp/>
        <stp>BDP|1385376902052644938</stp>
        <tr r="H108" s="1"/>
        <tr r="H131" s="1"/>
        <tr r="H144" s="1"/>
        <tr r="H38" s="1"/>
      </tp>
      <tp t="s">
        <v>#N/A N/A</v>
        <stp/>
        <stp>BDP|4194903840655854580</stp>
        <tr r="H97" s="1"/>
        <tr r="H140" s="1"/>
      </tp>
      <tp t="s">
        <v>#N/A N/A</v>
        <stp/>
        <stp>BDP|3934386354075206918</stp>
        <tr r="I32" s="1"/>
      </tp>
      <tp t="s">
        <v>#N/A N/A</v>
        <stp/>
        <stp>BDP|3683430983581239733</stp>
        <tr r="I84" s="1"/>
      </tp>
      <tp t="s">
        <v>#N/A N/A</v>
        <stp/>
        <stp>BDP|2626982509986068401</stp>
        <tr r="G138" s="1"/>
        <tr r="G66" s="1"/>
        <tr r="G93" s="1"/>
      </tp>
      <tp t="s">
        <v>#N/A N/A</v>
        <stp/>
        <stp>BDP|9707616558491147288</stp>
        <tr r="I18" s="1"/>
      </tp>
      <tp t="s">
        <v>#N/A N/A</v>
        <stp/>
        <stp>BDP|3037303259229834564</stp>
        <tr r="F19" s="1"/>
      </tp>
      <tp t="s">
        <v>#N/A N/A</v>
        <stp/>
        <stp>BDP|4872123251891720889</stp>
        <tr r="I49" s="1"/>
      </tp>
      <tp t="s">
        <v>#N/A N/A</v>
        <stp/>
        <stp>BDP|1986321303169507174</stp>
        <tr r="F115" s="1"/>
      </tp>
      <tp t="s">
        <v>#N/A N/A</v>
        <stp/>
        <stp>BDP|2531448636058949752</stp>
        <tr r="I99" s="1"/>
        <tr r="I161" s="1"/>
      </tp>
      <tp t="s">
        <v>#N/A N/A</v>
        <stp/>
        <stp>BDP|1510197333649733005</stp>
        <tr r="I78" s="1"/>
      </tp>
      <tp t="s">
        <v>#N/A N/A</v>
        <stp/>
        <stp>BDP|2805743251148424270</stp>
        <tr r="G26" s="1"/>
      </tp>
      <tp t="s">
        <v>#N/A N/A</v>
        <stp/>
        <stp>BDP|9702499515654102273</stp>
        <tr r="I56" s="1"/>
      </tp>
      <tp t="s">
        <v>#N/A N/A</v>
        <stp/>
        <stp>BDP|5056352639969873665</stp>
        <tr r="H16" s="1"/>
      </tp>
      <tp t="s">
        <v>#N/A N/A</v>
        <stp/>
        <stp>BDP|3546072589204069596</stp>
        <tr r="F84" s="1"/>
      </tp>
      <tp t="s">
        <v>#N/A N/A</v>
        <stp/>
        <stp>BDP|4040994977949434995</stp>
        <tr r="H48" s="1"/>
      </tp>
      <tp t="s">
        <v>#N/A N/A</v>
        <stp/>
        <stp>BDP|3022526525318060642</stp>
        <tr r="I9" s="1"/>
      </tp>
      <tp t="s">
        <v>#N/A N/A</v>
        <stp/>
        <stp>BDP|4993759558345738931</stp>
        <tr r="I101" s="1"/>
        <tr r="I130" s="1"/>
        <tr r="I141" s="1"/>
        <tr r="I36" s="1"/>
      </tp>
      <tp t="s">
        <v>#N/A N/A</v>
        <stp/>
        <stp>BDP|6705030696256597310</stp>
        <tr r="H106" s="1"/>
        <tr r="H143" s="1"/>
      </tp>
      <tp t="s">
        <v>#N/A N/A</v>
        <stp/>
        <stp>BDP|1460895708582172123</stp>
        <tr r="H34" s="1"/>
      </tp>
      <tp t="s">
        <v>#N/A N/A</v>
        <stp/>
        <stp>BDP|5141994729683431715</stp>
        <tr r="I34" s="1"/>
      </tp>
      <tp t="s">
        <v>#N/A N/A</v>
        <stp/>
        <stp>BDP|5554226211199118528</stp>
        <tr r="G64" s="1"/>
      </tp>
      <tp t="s">
        <v>#N/A N/A</v>
        <stp/>
        <stp>BDP|3573813802768004936</stp>
        <tr r="F168" s="1"/>
        <tr r="F125" s="1"/>
        <tr r="F159" s="1"/>
      </tp>
      <tp t="s">
        <v>#N/A N/A</v>
        <stp/>
        <stp>BDP|7159967173223915174</stp>
        <tr r="F102" s="1"/>
        <tr r="F166" s="1"/>
      </tp>
      <tp t="s">
        <v>#N/A N/A</v>
        <stp/>
        <stp>BDP|6030767398495473624</stp>
        <tr r="I61" s="1"/>
      </tp>
      <tp t="s">
        <v>#N/A N/A</v>
        <stp/>
        <stp>BDP|4643294066242447953</stp>
        <tr r="F12" s="1"/>
      </tp>
      <tp t="s">
        <v>#N/A N/A</v>
        <stp/>
        <stp>BDP|7271913130802329493</stp>
        <tr r="H107" s="1"/>
        <tr r="H162" s="1"/>
      </tp>
      <tp t="s">
        <v>#N/A N/A</v>
        <stp/>
        <stp>BDP|3254945550665980115</stp>
        <tr r="I77" s="1"/>
      </tp>
      <tp t="s">
        <v>#N/A N/A</v>
        <stp/>
        <stp>BDP|4053018137038839400</stp>
        <tr r="H68" s="1"/>
      </tp>
      <tp t="s">
        <v>#N/A N/A</v>
        <stp/>
        <stp>BDP|7610684427659657117</stp>
        <tr r="I53" s="1"/>
      </tp>
      <tp t="s">
        <v>#N/A N/A</v>
        <stp/>
        <stp>BDP|7111651099607502463</stp>
        <tr r="F27" s="1"/>
      </tp>
      <tp t="s">
        <v>#N/A N/A</v>
        <stp/>
        <stp>BDP|6947551294839461833</stp>
        <tr r="H119" s="1"/>
        <tr r="H163" s="1"/>
      </tp>
      <tp t="s">
        <v>#N/A N/A</v>
        <stp/>
        <stp>BDP|2233798867540050830</stp>
        <tr r="I139" s="1"/>
        <tr r="I129" s="1"/>
        <tr r="I35" s="1"/>
        <tr r="I94" s="1"/>
      </tp>
      <tp t="s">
        <v>#N/A N/A</v>
        <stp/>
        <stp>BDP|9186812729710473818</stp>
        <tr r="G73" s="1"/>
      </tp>
      <tp t="s">
        <v>#N/A N/A</v>
        <stp/>
        <stp>BDP|9860213403601626113</stp>
        <tr r="H57" s="1"/>
      </tp>
      <tp t="s">
        <v>#N/A N/A</v>
        <stp/>
        <stp>BDP|9914424521516010298</stp>
        <tr r="I138" s="1"/>
        <tr r="I66" s="1"/>
        <tr r="I93" s="1"/>
      </tp>
      <tp t="s">
        <v>#N/A N/A</v>
        <stp/>
        <stp>BDP|3488379981267264404</stp>
        <tr r="I58" s="1"/>
      </tp>
      <tp t="s">
        <v>#N/A N/A</v>
        <stp/>
        <stp>BDP|3708775135225686953</stp>
        <tr r="F118" s="1"/>
        <tr r="F148" s="1"/>
      </tp>
      <tp t="s">
        <v>#N/A N/A</v>
        <stp/>
        <stp>BDP|3152860453614631169</stp>
        <tr r="H83" s="1"/>
      </tp>
      <tp t="s">
        <v>#N/A N/A</v>
        <stp/>
        <stp>BDP|7875130752771489997</stp>
        <tr r="I59" s="1"/>
      </tp>
      <tp t="s">
        <v>#N/A N/A</v>
        <stp/>
        <stp>BDP|7482365424967423588</stp>
        <tr r="G96" s="1"/>
      </tp>
      <tp t="s">
        <v>#N/A N/A</v>
        <stp/>
        <stp>BDP|3211199360376339631</stp>
        <tr r="F79" s="1"/>
      </tp>
      <tp t="s">
        <v>#N/A N/A</v>
        <stp/>
        <stp>BDP|8988702185976717501</stp>
        <tr r="H114" s="1"/>
        <tr r="H155" s="1"/>
      </tp>
      <tp t="s">
        <v>#N/A N/A</v>
        <stp/>
        <stp>BDP|9726589548445906969</stp>
        <tr r="H45" s="1"/>
      </tp>
      <tp t="s">
        <v>#N/A N/A</v>
        <stp/>
        <stp>BDP|4997276222587012707</stp>
        <tr r="I81" s="1"/>
      </tp>
      <tp t="s">
        <v>#N/A N/A</v>
        <stp/>
        <stp>BDP|3157574926566423668</stp>
        <tr r="F47" s="1"/>
      </tp>
      <tp t="s">
        <v>#N/A N/A</v>
        <stp/>
        <stp>BDP|6083465411744375370</stp>
        <tr r="H64" s="1"/>
      </tp>
      <tp t="s">
        <v>#N/A N/A</v>
        <stp/>
        <stp>BDP|1036114563817360526</stp>
        <tr r="H59" s="1"/>
      </tp>
      <tp t="s">
        <v>#N/A N/A</v>
        <stp/>
        <stp>BDP|2581819087767597160</stp>
        <tr r="I71" s="1"/>
      </tp>
      <tp t="s">
        <v>#N/A N/A</v>
        <stp/>
        <stp>BDP|4754902810219234151</stp>
        <tr r="H141" s="1"/>
        <tr r="H101" s="1"/>
        <tr r="H130" s="1"/>
        <tr r="H36" s="1"/>
      </tp>
      <tp t="s">
        <v>#N/A N/A</v>
        <stp/>
        <stp>BDP|5688360574174538107</stp>
        <tr r="H75" s="1"/>
      </tp>
      <tp t="s">
        <v>#N/A N/A</v>
        <stp/>
        <stp>BDP|7036172001577157560</stp>
        <tr r="G85" s="1"/>
      </tp>
      <tp t="s">
        <v>#N/A N/A</v>
        <stp/>
        <stp>BDP|2563002552162118177</stp>
        <tr r="G103" s="1"/>
        <tr r="G152" s="1"/>
      </tp>
      <tp t="s">
        <v>#N/A N/A</v>
        <stp/>
        <stp>BDP|8911787984763291006</stp>
        <tr r="F33" s="1"/>
      </tp>
      <tp t="s">
        <v>#N/A N/A</v>
        <stp/>
        <stp>BDP|1796458773147401119</stp>
        <tr r="H121" s="1"/>
        <tr r="H157" s="1"/>
        <tr r="H171" s="1"/>
      </tp>
      <tp t="s">
        <v>#N/A N/A</v>
        <stp/>
        <stp>BDP|3768568742842105474</stp>
        <tr r="G45" s="1"/>
      </tp>
      <tp t="s">
        <v>#N/A N/A</v>
        <stp/>
        <stp>BDP|6601633665352244073</stp>
        <tr r="F122" s="1"/>
        <tr r="F158" s="1"/>
      </tp>
      <tp t="s">
        <v>#N/A N/A</v>
        <stp/>
        <stp>BDP|7692630829887604108</stp>
        <tr r="H21" s="1"/>
      </tp>
      <tp t="s">
        <v>#N/A N/A</v>
        <stp/>
        <stp>BDP|8258121989040679449</stp>
        <tr r="G12" s="1"/>
      </tp>
      <tp t="s">
        <v>#N/A N/A</v>
        <stp/>
        <stp>BDP|1258648141336876049</stp>
        <tr r="H62" s="1"/>
      </tp>
      <tp t="s">
        <v>#N/A N/A</v>
        <stp/>
        <stp>BDP|3475830816808902708</stp>
        <tr r="H6" s="1"/>
        <tr r="H135" s="1"/>
        <tr r="H89" s="1"/>
      </tp>
      <tp t="s">
        <v>#N/A N/A</v>
        <stp/>
        <stp>BDP|4705088156347242328</stp>
        <tr r="G35" s="1"/>
        <tr r="G129" s="1"/>
        <tr r="G139" s="1"/>
        <tr r="G94" s="1"/>
      </tp>
      <tp t="s">
        <v>#N/A N/A</v>
        <stp/>
        <stp>BDP|6380311530900790382</stp>
        <tr r="H18" s="1"/>
      </tp>
      <tp t="s">
        <v>#N/A N/A</v>
        <stp/>
        <stp>BDP|3138302239093184545</stp>
        <tr r="G61" s="1"/>
      </tp>
      <tp t="s">
        <v>#N/A N/A</v>
        <stp/>
        <stp>BDP|6169619842170443147</stp>
        <tr r="F62" s="1"/>
      </tp>
      <tp t="s">
        <v>#N/A N/A</v>
        <stp/>
        <stp>BDP|1056359146780701341</stp>
        <tr r="G131" s="1"/>
        <tr r="G108" s="1"/>
        <tr r="G144" s="1"/>
        <tr r="G38" s="1"/>
      </tp>
      <tp t="s">
        <v>#N/A N/A</v>
        <stp/>
        <stp>BDP|6595569464459726902</stp>
        <tr r="F77" s="1"/>
      </tp>
      <tp t="s">
        <v>#N/A N/A</v>
        <stp/>
        <stp>BDP|5265975832402211851</stp>
        <tr r="H73" s="1"/>
      </tp>
      <tp t="s">
        <v>#N/A N/A</v>
        <stp/>
        <stp>BDP|2153166502830831684</stp>
        <tr r="G55" s="1"/>
      </tp>
      <tp t="s">
        <v>#N/A N/A</v>
        <stp/>
        <stp>BDP|5363460856032248345</stp>
        <tr r="H54" s="1"/>
      </tp>
      <tp t="s">
        <v>#N/A N/A</v>
        <stp/>
        <stp>BDP|6006177559750266426</stp>
        <tr r="G114" s="1"/>
        <tr r="G155" s="1"/>
      </tp>
      <tp t="s">
        <v>#N/A N/A</v>
        <stp/>
        <stp>BDP|5095507656661098286</stp>
        <tr r="I46" s="1"/>
      </tp>
      <tp t="s">
        <v>#N/A N/A</v>
        <stp/>
        <stp>BDP|4494060745275940319</stp>
        <tr r="H52" s="1"/>
      </tp>
      <tp t="s">
        <v>#N/A N/A</v>
        <stp/>
        <stp>BDP|2678927085871871456</stp>
        <tr r="H109" s="1"/>
        <tr r="H67" s="1"/>
        <tr r="H145" s="1"/>
      </tp>
      <tp t="s">
        <v>#N/A N/A</v>
        <stp/>
        <stp>BDP|7825549993215255817</stp>
        <tr r="H124" s="1"/>
        <tr r="H149" s="1"/>
      </tp>
      <tp t="s">
        <v>#N/A N/A</v>
        <stp/>
        <stp>BDP|9902400922418713108</stp>
        <tr r="G20" s="1"/>
      </tp>
      <tp t="s">
        <v>#N/A N/A</v>
        <stp/>
        <stp>BDP|8564760815778245086</stp>
        <tr r="G145" s="1"/>
        <tr r="G109" s="1"/>
        <tr r="G67" s="1"/>
      </tp>
      <tp t="s">
        <v>#N/A N/A</v>
        <stp/>
        <stp>BDP|6933536000001393444</stp>
        <tr r="F41" s="1"/>
      </tp>
      <tp t="s">
        <v>#N/A N/A</v>
        <stp/>
        <stp>BDP|6638796769944182551</stp>
        <tr r="F53" s="1"/>
      </tp>
      <tp t="s">
        <v>#N/A N/A</v>
        <stp/>
        <stp>BDP|4279697172366848514</stp>
        <tr r="F72" s="1"/>
      </tp>
      <tp t="s">
        <v>#N/A N/A</v>
        <stp/>
        <stp>BDP|5540999856269834629</stp>
        <tr r="G54" s="1"/>
      </tp>
      <tp t="s">
        <v>#N/A N/A</v>
        <stp/>
        <stp>BDP|3855285645097534404</stp>
        <tr r="I79" s="1"/>
      </tp>
      <tp t="s">
        <v>#N/A N/A</v>
        <stp/>
        <stp>BDP|7879023807381394086</stp>
        <tr r="I100" s="1"/>
      </tp>
      <tp t="s">
        <v>#N/A N/A</v>
        <stp/>
        <stp>BDP|3720243952715447718</stp>
        <tr r="G151" s="1"/>
        <tr r="G98" s="1"/>
      </tp>
      <tp t="s">
        <v>#N/A N/A</v>
        <stp/>
        <stp>BDP|1514535025700014072</stp>
        <tr r="F116" s="1"/>
        <tr r="F170" s="1"/>
      </tp>
      <tp t="s">
        <v>#N/A N/A</v>
        <stp/>
        <stp>BDP|6767561317792814748</stp>
        <tr r="I136" s="1"/>
        <tr r="I90" s="1"/>
      </tp>
      <tp t="s">
        <v>#N/A N/A</v>
        <stp/>
        <stp>BDP|6771883054368492454</stp>
        <tr r="F136" s="1"/>
        <tr r="F90" s="1"/>
      </tp>
      <tp t="s">
        <v>#N/A N/A</v>
        <stp/>
        <stp>BDP|4031147032600896141</stp>
        <tr r="F26" s="1"/>
      </tp>
      <tp t="s">
        <v>#N/A N/A</v>
        <stp/>
        <stp>BDP|6515174768883146532</stp>
        <tr r="G102" s="1"/>
        <tr r="G166" s="1"/>
      </tp>
      <tp t="s">
        <v>#N/A N/A</v>
        <stp/>
        <stp>BDP|7530559054576585685</stp>
        <tr r="I30" s="1"/>
      </tp>
      <tp t="s">
        <v>#N/A N/A</v>
        <stp/>
        <stp>BDP|4059488147993212033</stp>
        <tr r="H19" s="1"/>
      </tp>
      <tp t="s">
        <v>#N/A N/A</v>
        <stp/>
        <stp>BDP|3407435729205503740</stp>
        <tr r="F55" s="1"/>
      </tp>
      <tp t="s">
        <v>#N/A N/A</v>
        <stp/>
        <stp>BDP|8046807458596521407</stp>
        <tr r="F104" s="1"/>
      </tp>
      <tp t="s">
        <v>#N/A N/A</v>
        <stp/>
        <stp>BDP|7185725134245084158</stp>
        <tr r="I103" s="1"/>
        <tr r="I152" s="1"/>
      </tp>
      <tp t="s">
        <v>#N/A N/A</v>
        <stp/>
        <stp>BDP|6860871348948277561</stp>
        <tr r="F163" s="1"/>
        <tr r="F119" s="1"/>
      </tp>
      <tp t="s">
        <v>#N/A N/A</v>
        <stp/>
        <stp>BDP|1563973465358099121</stp>
        <tr r="H127" s="1"/>
        <tr r="H169" s="1"/>
      </tp>
      <tp t="s">
        <v>#N/A N/A</v>
        <stp/>
        <stp>BDP|8530194197668636821</stp>
        <tr r="H50" s="1"/>
      </tp>
      <tp t="s">
        <v>#N/A N/A</v>
        <stp/>
        <stp>BDP|5411447118148717801</stp>
        <tr r="G6" s="1"/>
        <tr r="G135" s="1"/>
        <tr r="G89" s="1"/>
      </tp>
      <tp t="s">
        <v>#N/A N/A</v>
        <stp/>
        <stp>BDP|3434098256411738707</stp>
        <tr r="G83" s="1"/>
      </tp>
      <tp t="s">
        <v>#N/A N/A</v>
        <stp/>
        <stp>BDP|5074669454153999574</stp>
        <tr r="I113" s="1"/>
        <tr r="I154" s="1"/>
      </tp>
      <tp t="s">
        <v>#N/A N/A</v>
        <stp/>
        <stp>BDP|7223918699226152193</stp>
        <tr r="F124" s="1"/>
        <tr r="F149" s="1"/>
      </tp>
      <tp t="s">
        <v>#N/A N/A</v>
        <stp/>
        <stp>BDP|8444424002715089973</stp>
        <tr r="G127" s="1"/>
        <tr r="G169" s="1"/>
      </tp>
      <tp t="s">
        <v>#N/A N/A</v>
        <stp/>
        <stp>BDP|7106902630598380549</stp>
        <tr r="G47" s="1"/>
      </tp>
      <tp t="s">
        <v>#N/A N/A</v>
        <stp/>
        <stp>BDP|6812505212212263116</stp>
        <tr r="H40" s="1"/>
      </tp>
      <tp t="s">
        <v>#N/A N/A</v>
        <stp/>
        <stp>BDP|1040944263739376680</stp>
        <tr r="G17" s="1"/>
      </tp>
      <tp t="s">
        <v>#N/A N/A</v>
        <stp/>
        <stp>BDP|6342082904686243110</stp>
        <tr r="I73" s="1"/>
      </tp>
      <tp t="s">
        <v>#N/A N/A</v>
        <stp/>
        <stp>BDP|4853204476194489471</stp>
        <tr r="H8" s="1"/>
        <tr r="H15" s="1"/>
      </tp>
      <tp t="s">
        <v>#N/A N/A</v>
        <stp/>
        <stp>BDP|3652241798061443838</stp>
        <tr r="I52" s="1"/>
      </tp>
      <tp t="s">
        <v>#N/A N/A</v>
        <stp/>
        <stp>BDP|7344623448301711532</stp>
        <tr r="I92" s="1"/>
      </tp>
      <tp t="s">
        <v>#N/A N/A</v>
        <stp/>
        <stp>BDP|6600767683048953089</stp>
        <tr r="I17" s="1"/>
      </tp>
      <tp t="s">
        <v>#N/A N/A</v>
        <stp/>
        <stp>BDP|1081537137177147156</stp>
        <tr r="F129" s="1"/>
        <tr r="F139" s="1"/>
        <tr r="F35" s="1"/>
        <tr r="F94" s="1"/>
      </tp>
      <tp t="s">
        <v>#N/A N/A</v>
        <stp/>
        <stp>BDP|9455497710768499581</stp>
        <tr r="G126" s="1"/>
        <tr r="G164" s="1"/>
      </tp>
      <tp t="s">
        <v>#N/A N/A</v>
        <stp/>
        <stp>BDP|1120662936812005773</stp>
        <tr r="F131" s="1"/>
        <tr r="F144" s="1"/>
        <tr r="F108" s="1"/>
        <tr r="F38" s="1"/>
      </tp>
      <tp t="s">
        <v>#N/A N/A</v>
        <stp/>
        <stp>BDP|9784152575438428653</stp>
        <tr r="F8" s="1"/>
        <tr r="F15" s="1"/>
      </tp>
      <tp t="s">
        <v>#N/A N/A</v>
        <stp/>
        <stp>BDP|7728044566518107831</stp>
        <tr r="G68" s="1"/>
      </tp>
      <tp t="s">
        <v>#N/A N/A</v>
        <stp/>
        <stp>BDP|1316037631167720437</stp>
        <tr r="I140" s="1"/>
        <tr r="I97" s="1"/>
      </tp>
      <tp t="s">
        <v>#N/A N/A</v>
        <stp/>
        <stp>BDP|5972195603752527732</stp>
        <tr r="F31" s="1"/>
      </tp>
      <tp t="s">
        <v>#N/A N/A</v>
        <stp/>
        <stp>BDP|3850664694137173916</stp>
        <tr r="F24" s="1"/>
      </tp>
      <tp t="s">
        <v>#N/A N/A</v>
        <stp/>
        <stp>BDP|8750564129795287815</stp>
        <tr r="I5" s="1"/>
      </tp>
      <tp t="s">
        <v>#N/A N/A</v>
        <stp/>
        <stp>BDP|7523579207242420292</stp>
        <tr r="F29" s="1"/>
      </tp>
      <tp t="s">
        <v>#N/A N/A</v>
        <stp/>
        <stp>BDP|5359143326786945200</stp>
        <tr r="F137" s="1"/>
        <tr r="F91" s="1"/>
      </tp>
      <tp t="s">
        <v>#N/A N/A</v>
        <stp/>
        <stp>BDP|2645067503079325987</stp>
        <tr r="I125" s="1"/>
        <tr r="I159" s="1"/>
        <tr r="I168" s="1"/>
      </tp>
      <tp t="s">
        <v>#N/A N/A</v>
        <stp/>
        <stp>BDP|6124255865958845802</stp>
        <tr r="F14" s="1"/>
      </tp>
      <tp t="s">
        <v>#N/A N/A</v>
        <stp/>
        <stp>BDP|6524242804566863041</stp>
        <tr r="I155" s="1"/>
        <tr r="I114" s="1"/>
      </tp>
      <tp t="s">
        <v>#N/A N/A</v>
        <stp/>
        <stp>BDP|8196730896561964537</stp>
        <tr r="I170" s="1"/>
        <tr r="I116" s="1"/>
      </tp>
      <tp t="s">
        <v>#N/A N/A</v>
        <stp/>
        <stp>BDP|5440683144630318555</stp>
        <tr r="G81" s="1"/>
      </tp>
      <tp t="s">
        <v>#N/A N/A</v>
        <stp/>
        <stp>BDP|5404436866164751190</stp>
        <tr r="I88" s="1"/>
      </tp>
      <tp t="s">
        <v>#N/A N/A</v>
        <stp/>
        <stp>BDP|5980471150667223109</stp>
        <tr r="G92" s="1"/>
      </tp>
      <tp t="s">
        <v>#N/A N/A</v>
        <stp/>
        <stp>BDP|3003884964916930975</stp>
        <tr r="I149" s="1"/>
        <tr r="I124" s="1"/>
      </tp>
      <tp t="s">
        <v>#N/A N/A</v>
        <stp/>
        <stp>BDP|4051111234867180364</stp>
        <tr r="I104" s="1"/>
      </tp>
      <tp t="s">
        <v>#N/A N/A</v>
        <stp/>
        <stp>BDP|3786739244325454772</stp>
        <tr r="G32" s="1"/>
      </tp>
      <tp t="s">
        <v>#N/A N/A</v>
        <stp/>
        <stp>BDP|7373964945409469141</stp>
        <tr r="I134" s="1"/>
        <tr r="I87" s="1"/>
      </tp>
      <tp t="s">
        <v>#N/A N/A</v>
        <stp/>
        <stp>BDP|6439686579994432101</stp>
        <tr r="H49" s="1"/>
      </tp>
      <tp t="s">
        <v>#N/A N/A</v>
        <stp/>
        <stp>BDP|8121361999714646494</stp>
        <tr r="G13" s="1"/>
      </tp>
      <tp t="s">
        <v>#N/A N/A</v>
        <stp/>
        <stp>BDP|9315501557959268224</stp>
        <tr r="H69" s="1"/>
      </tp>
      <tp t="s">
        <v>#N/A N/A</v>
        <stp/>
        <stp>BDP|2125080658617884337</stp>
        <tr r="H84" s="1"/>
      </tp>
      <tp t="s">
        <v>#N/A N/A</v>
        <stp/>
        <stp>BDP|4114254653265506595</stp>
        <tr r="G49" s="1"/>
      </tp>
      <tp t="s">
        <v>#N/A N/A</v>
        <stp/>
        <stp>BDP|3633407463826985445</stp>
        <tr r="F71" s="1"/>
      </tp>
      <tp t="s">
        <v>#N/A N/A</v>
        <stp/>
        <stp>BDP|4950083559715065704</stp>
        <tr r="F81" s="1"/>
      </tp>
      <tp t="s">
        <v>#N/A N/A</v>
        <stp/>
        <stp>BDP|5987343326282127573</stp>
        <tr r="F92" s="1"/>
      </tp>
      <tp t="s">
        <v>#N/A N/A</v>
        <stp/>
        <stp>BDP|4162962294883611480</stp>
        <tr r="H55" s="1"/>
      </tp>
      <tp t="s">
        <v>#N/A N/A</v>
        <stp/>
        <stp>BDP|6152488958170618445</stp>
        <tr r="F32" s="1"/>
      </tp>
      <tp t="s">
        <v>#N/A N/A</v>
        <stp/>
        <stp>BDP|8896306010671808832</stp>
        <tr r="F40" s="1"/>
      </tp>
      <tp t="s">
        <v>#N/A N/A</v>
        <stp/>
        <stp>BDP|5611541570262023622</stp>
        <tr r="I121" s="1"/>
        <tr r="I157" s="1"/>
        <tr r="I171" s="1"/>
      </tp>
      <tp t="s">
        <v>#N/A N/A</v>
        <stp/>
        <stp>BDP|3785354411031712350</stp>
        <tr r="H11" s="1"/>
      </tp>
      <tp t="s">
        <v>#N/A N/A</v>
        <stp/>
        <stp>BDP|2074014839884072690</stp>
        <tr r="G113" s="1"/>
        <tr r="G154" s="1"/>
      </tp>
      <tp t="s">
        <v>#N/A N/A</v>
        <stp/>
        <stp>BDP|6595472152792508614</stp>
        <tr r="F107" s="1"/>
        <tr r="F162" s="1"/>
      </tp>
      <tp t="s">
        <v>#N/A N/A</v>
        <stp/>
        <stp>BDP|1637721835680372661</stp>
        <tr r="F74" s="1"/>
      </tp>
      <tp t="s">
        <v>#N/A N/A</v>
        <stp/>
        <stp>BDP|94885123406118318</stp>
        <tr r="H60" s="1"/>
      </tp>
      <tp t="s">
        <v>#N/A N/A</v>
        <stp/>
        <stp>BDP|87575186768499430</stp>
        <tr r="F121" s="1"/>
        <tr r="F157" s="1"/>
        <tr r="F171" s="1"/>
      </tp>
      <tp t="s">
        <v>#N/A N/A</v>
        <stp/>
        <stp>BDP|122262465617889619</stp>
        <tr r="I23" s="1"/>
      </tp>
      <tp t="s">
        <v>#N/A N/A</v>
        <stp/>
        <stp>BDP|882273607092782722</stp>
        <tr r="F64" s="1"/>
      </tp>
      <tp t="s">
        <v>#N/A N/A</v>
        <stp/>
        <stp>BDP|741650715715927563</stp>
        <tr r="H77" s="1"/>
      </tp>
      <tp t="s">
        <v>#N/A N/A</v>
        <stp/>
        <stp>BDP|514078866799299812</stp>
        <tr r="F48" s="1"/>
      </tp>
      <tp t="s">
        <v>#N/A N/A</v>
        <stp/>
        <stp>BDP|878308678993305030</stp>
        <tr r="H20" s="1"/>
      </tp>
      <tp t="s">
        <v>#N/A N/A</v>
        <stp/>
        <stp>BDP|548566538787533068</stp>
        <tr r="G16" s="1"/>
      </tp>
      <tp t="s">
        <v>#N/A N/A</v>
        <stp/>
        <stp>BDP|446888585128132991</stp>
        <tr r="H23" s="1"/>
      </tp>
      <tp t="s">
        <v>#N/A N/A</v>
        <stp/>
        <stp>BDP|295688908102003632</stp>
        <tr r="H147" s="1"/>
        <tr r="H117" s="1"/>
      </tp>
      <tp t="s">
        <v>#N/A N/A</v>
        <stp/>
        <stp>BDP|324834475453664085</stp>
        <tr r="H78" s="1"/>
      </tp>
      <tp t="s">
        <v>#N/A N/A</v>
        <stp/>
        <stp>BDP|770128007688641541</stp>
        <tr r="G46" s="1"/>
      </tp>
      <tp t="s">
        <v>#N/A N/A</v>
        <stp/>
        <stp>BDP|570604556834698909</stp>
        <tr r="I60" s="1"/>
      </tp>
      <tp t="s">
        <v>#N/A N/A</v>
        <stp/>
        <stp>BDP|117977742931530583</stp>
        <tr r="F98" s="1"/>
        <tr r="F151" s="1"/>
      </tp>
      <tp t="s">
        <v>#N/A N/A</v>
        <stp/>
        <stp>BDP|876532408604581819</stp>
        <tr r="G43" s="1"/>
      </tp>
      <tp t="s">
        <v>#N/A N/A</v>
        <stp/>
        <stp>BDP|133413819314260989</stp>
        <tr r="I74" s="1"/>
      </tp>
      <tp t="s">
        <v>#N/A N/A</v>
        <stp/>
        <stp>BDP|825752097611656417</stp>
        <tr r="F153" s="1"/>
        <tr r="F1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blp/API/Office%20Tools/BloombergUI.xla" TargetMode="External"/><Relationship Id="rId2" Type="http://schemas.openxmlformats.org/officeDocument/2006/relationships/externalLinkPath" Target="file:///C:\blp\API\Office%20Tools\BloombergUI.xla" TargetMode="External"/><Relationship Id="rId1" Type="http://schemas.openxmlformats.org/officeDocument/2006/relationships/externalLinkPath" Target="/blp/API/Office%20Tools/BloombergUI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BErro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2F2B-1A6C-4862-AB6D-8FA700A43B18}">
  <dimension ref="A1:I202"/>
  <sheetViews>
    <sheetView tabSelected="1" topLeftCell="A37" workbookViewId="0">
      <selection activeCell="J79" sqref="J79"/>
    </sheetView>
  </sheetViews>
  <sheetFormatPr defaultRowHeight="15" x14ac:dyDescent="0.25"/>
  <cols>
    <col min="1" max="1" width="19.140625" style="1" customWidth="1"/>
    <col min="2" max="2" width="16.140625" style="1" customWidth="1"/>
    <col min="3" max="3" width="18.28515625" style="1" customWidth="1"/>
    <col min="4" max="4" width="26.7109375" style="1" customWidth="1"/>
    <col min="5" max="5" width="15.85546875" style="1" customWidth="1"/>
    <col min="6" max="6" width="22.28515625" style="1" customWidth="1"/>
    <col min="7" max="7" width="11.7109375" style="1" customWidth="1"/>
    <col min="8" max="8" width="13" style="1" customWidth="1"/>
    <col min="9" max="16384" width="9.140625" style="1"/>
  </cols>
  <sheetData>
    <row r="1" spans="1:9" x14ac:dyDescent="0.25">
      <c r="F1" s="1" t="s">
        <v>3</v>
      </c>
      <c r="G1" s="1" t="s">
        <v>6</v>
      </c>
      <c r="H1" s="1" t="s">
        <v>8</v>
      </c>
      <c r="I1" s="1" t="s">
        <v>9</v>
      </c>
    </row>
    <row r="3" spans="1:9" s="4" customFormat="1" x14ac:dyDescent="0.25">
      <c r="A3" s="4" t="s">
        <v>4</v>
      </c>
      <c r="C3" s="4" t="s">
        <v>4</v>
      </c>
      <c r="D3" s="4" t="s">
        <v>4</v>
      </c>
      <c r="E3" s="4" t="s">
        <v>4</v>
      </c>
      <c r="F3" s="4" t="s">
        <v>5</v>
      </c>
      <c r="G3" s="3" t="s">
        <v>5</v>
      </c>
      <c r="H3" s="3" t="s">
        <v>5</v>
      </c>
      <c r="I3" s="3" t="s">
        <v>5</v>
      </c>
    </row>
    <row r="4" spans="1:9" s="2" customFormat="1" x14ac:dyDescent="0.25">
      <c r="A4" s="2" t="s">
        <v>0</v>
      </c>
      <c r="B4" s="2" t="s">
        <v>12</v>
      </c>
      <c r="C4" s="2" t="s">
        <v>1</v>
      </c>
      <c r="D4" s="2" t="s">
        <v>2</v>
      </c>
      <c r="E4" s="2" t="s">
        <v>14</v>
      </c>
      <c r="F4" s="2" t="s">
        <v>3</v>
      </c>
      <c r="G4" s="5" t="s">
        <v>7</v>
      </c>
      <c r="H4" s="5" t="s">
        <v>11</v>
      </c>
      <c r="I4" s="5" t="s">
        <v>10</v>
      </c>
    </row>
    <row r="5" spans="1:9" x14ac:dyDescent="0.25">
      <c r="A5" s="1" t="s">
        <v>17</v>
      </c>
      <c r="B5" s="1" t="s">
        <v>18</v>
      </c>
      <c r="C5" s="1" t="s">
        <v>19</v>
      </c>
      <c r="E5" s="1" t="s">
        <v>15</v>
      </c>
      <c r="F5" s="1" t="str" cm="1">
        <f t="array" ref="F5">_xll.BDP($A5,F$1)</f>
        <v>BULLISH</v>
      </c>
      <c r="G5" s="6" cm="1">
        <f t="array" ref="G5">_xll.BDP($A5,G$1)/100</f>
        <v>-7.4741580000000002E-2</v>
      </c>
      <c r="H5" s="6" cm="1">
        <f t="array" ref="H5">_xll.BDP($A5,H$1)/100</f>
        <v>-7.4741569999999993E-2</v>
      </c>
      <c r="I5" s="6" cm="1">
        <f t="array" ref="I5">_xll.BDP($A5,I$1)/100</f>
        <v>-7.8162110000000007E-2</v>
      </c>
    </row>
    <row r="6" spans="1:9" x14ac:dyDescent="0.25">
      <c r="A6" s="1" t="s">
        <v>20</v>
      </c>
      <c r="B6" s="1" t="s">
        <v>18</v>
      </c>
      <c r="C6" s="1" t="s">
        <v>19</v>
      </c>
      <c r="E6" s="1" t="s">
        <v>15</v>
      </c>
      <c r="F6" s="1" t="str" cm="1">
        <f t="array" ref="F6">_xll.BDP($A6,F$1)</f>
        <v>BROADRIDGE FINL</v>
      </c>
      <c r="G6" s="6" cm="1">
        <f t="array" ref="G6">_xll.BDP($A6,G$1)/100</f>
        <v>-1.6885310000000001E-3</v>
      </c>
      <c r="H6" s="6" cm="1">
        <f t="array" ref="H6">_xll.BDP($A6,H$1)/100</f>
        <v>-1.6885030000000001E-3</v>
      </c>
      <c r="I6" s="6" cm="1">
        <f t="array" ref="I6">_xll.BDP($A6,I$1)/100</f>
        <v>-0.31119769999999997</v>
      </c>
    </row>
    <row r="7" spans="1:9" x14ac:dyDescent="0.25">
      <c r="A7" s="1" t="s">
        <v>21</v>
      </c>
      <c r="B7" s="1" t="s">
        <v>18</v>
      </c>
      <c r="C7" s="1" t="s">
        <v>19</v>
      </c>
      <c r="E7" s="1" t="s">
        <v>15</v>
      </c>
      <c r="F7" s="1" t="str" cm="1">
        <f t="array" ref="F7">_xll.BDP($A7,F$1)</f>
        <v>CANTOR EQUITY-A</v>
      </c>
      <c r="G7" s="6" cm="1">
        <f t="array" ref="G7">_xll.BDP($A7,G$1)/100</f>
        <v>0.15598290000000001</v>
      </c>
      <c r="H7" s="6" cm="1">
        <f t="array" ref="H7">_xll.BDP($A7,H$1)/100</f>
        <v>0.15598290000000001</v>
      </c>
      <c r="I7" s="6" cm="1">
        <f t="array" ref="I7">_xll.BDP($A7,I$1)/100</f>
        <v>0.20115449999999999</v>
      </c>
    </row>
    <row r="8" spans="1:9" x14ac:dyDescent="0.25">
      <c r="A8" s="1" t="s">
        <v>22</v>
      </c>
      <c r="B8" s="1" t="s">
        <v>18</v>
      </c>
      <c r="C8" s="1" t="s">
        <v>19</v>
      </c>
      <c r="E8" s="1" t="s">
        <v>15</v>
      </c>
      <c r="F8" s="1" t="str" cm="1">
        <f t="array" ref="F8">_xll.BDP($A8,F$1)</f>
        <v>COINBASE GLOBA-A</v>
      </c>
      <c r="G8" s="6" cm="1">
        <f t="array" ref="G8">_xll.BDP($A8,G$1)/100</f>
        <v>6.7103369999999994E-3</v>
      </c>
      <c r="H8" s="6" cm="1">
        <f t="array" ref="H8">_xll.BDP($A8,H$1)/100</f>
        <v>6.7103139999999993E-3</v>
      </c>
      <c r="I8" s="6" cm="1">
        <f t="array" ref="I8">_xll.BDP($A8,I$1)/100</f>
        <v>-0.16410189999999999</v>
      </c>
    </row>
    <row r="9" spans="1:9" x14ac:dyDescent="0.25">
      <c r="A9" s="1" t="s">
        <v>23</v>
      </c>
      <c r="B9" s="1" t="s">
        <v>18</v>
      </c>
      <c r="C9" s="1" t="s">
        <v>19</v>
      </c>
      <c r="E9" s="1" t="s">
        <v>15</v>
      </c>
      <c r="F9" s="1" t="str" cm="1">
        <f t="array" ref="F9">_xll.BDP($A9,F$1)</f>
        <v>CIRCLE INTERNET</v>
      </c>
      <c r="G9" s="6" cm="1">
        <f t="array" ref="G9">_xll.BDP($A9,G$1)/100</f>
        <v>0.2433979</v>
      </c>
      <c r="H9" s="6" cm="1">
        <f t="array" ref="H9">_xll.BDP($A9,H$1)/100</f>
        <v>0.2433979</v>
      </c>
      <c r="I9" s="6" cm="1">
        <f t="array" ref="I9">_xll.BDP($A9,I$1)/100</f>
        <v>0.42496839999999997</v>
      </c>
    </row>
    <row r="10" spans="1:9" x14ac:dyDescent="0.25">
      <c r="A10" s="1" t="s">
        <v>24</v>
      </c>
      <c r="B10" s="1" t="s">
        <v>18</v>
      </c>
      <c r="C10" s="1" t="s">
        <v>19</v>
      </c>
      <c r="E10" s="1" t="s">
        <v>15</v>
      </c>
      <c r="F10" s="1" t="str" cm="1">
        <f t="array" ref="F10">_xll.BDP($A10,F$1)</f>
        <v>FIGURE TECHNOL-A</v>
      </c>
      <c r="G10" s="6" cm="1">
        <f t="array" ref="G10">_xll.BDP($A10,G$1)/100</f>
        <v>7.1225070000000001E-3</v>
      </c>
      <c r="H10" s="6" cm="1">
        <f t="array" ref="H10">_xll.BDP($A10,H$1)/100</f>
        <v>7.1225510000000004E-3</v>
      </c>
      <c r="I10" s="6" cm="1">
        <f t="array" ref="I10">_xll.BDP($A10,I$1)/100</f>
        <v>-0.13442699999999999</v>
      </c>
    </row>
    <row r="11" spans="1:9" x14ac:dyDescent="0.25">
      <c r="A11" s="1" t="s">
        <v>25</v>
      </c>
      <c r="B11" s="1" t="s">
        <v>18</v>
      </c>
      <c r="C11" s="1" t="s">
        <v>19</v>
      </c>
      <c r="E11" s="1" t="s">
        <v>15</v>
      </c>
      <c r="F11" s="1" t="str" cm="1">
        <f t="array" ref="F11">_xll.BDP($A11,F$1)</f>
        <v>ROBINHOOD MARK-A</v>
      </c>
      <c r="G11" s="6" cm="1">
        <f t="array" ref="G11">_xll.BDP($A11,G$1)/100</f>
        <v>0.2937303</v>
      </c>
      <c r="H11" s="6" cm="1">
        <f t="array" ref="H11">_xll.BDP($A11,H$1)/100</f>
        <v>0.2937303</v>
      </c>
      <c r="I11" s="6" cm="1">
        <f t="array" ref="I11">_xll.BDP($A11,I$1)/100</f>
        <v>-0.1662246</v>
      </c>
    </row>
    <row r="12" spans="1:9" x14ac:dyDescent="0.25">
      <c r="A12" s="1" t="s">
        <v>26</v>
      </c>
      <c r="B12" s="1" t="s">
        <v>18</v>
      </c>
      <c r="C12" s="1" t="s">
        <v>19</v>
      </c>
      <c r="E12" s="1" t="s">
        <v>15</v>
      </c>
      <c r="F12" s="1" t="str" cm="1">
        <f t="array" ref="F12">_xll.BDP($A12,F$1)</f>
        <v>SS&amp;C TECHNOLOGIE</v>
      </c>
      <c r="G12" s="6" cm="1">
        <f t="array" ref="G12">_xll.BDP($A12,G$1)/100</f>
        <v>-2.5685429999999999E-2</v>
      </c>
      <c r="H12" s="6" cm="1">
        <f t="array" ref="H12">_xll.BDP($A12,H$1)/100</f>
        <v>-2.5685470000000002E-2</v>
      </c>
      <c r="I12" s="6" cm="1">
        <f t="array" ref="I12">_xll.BDP($A12,I$1)/100</f>
        <v>-0.22763670000000003</v>
      </c>
    </row>
    <row r="13" spans="1:9" x14ac:dyDescent="0.25">
      <c r="A13" s="1" t="s">
        <v>27</v>
      </c>
      <c r="B13" s="1" t="s">
        <v>18</v>
      </c>
      <c r="C13" s="1" t="s">
        <v>19</v>
      </c>
      <c r="E13" s="1" t="s">
        <v>15</v>
      </c>
      <c r="F13" s="1" t="str" cm="1">
        <f t="array" ref="F13">_xll.BDP($A13,F$1)</f>
        <v>BLOCK INC</v>
      </c>
      <c r="G13" s="6" cm="1">
        <f t="array" ref="G13">_xll.BDP($A13,G$1)/100</f>
        <v>7.3890230000000001E-2</v>
      </c>
      <c r="H13" s="6" cm="1">
        <f t="array" ref="H13">_xll.BDP($A13,H$1)/100</f>
        <v>7.3890200000000003E-2</v>
      </c>
      <c r="I13" s="6" cm="1">
        <f t="array" ref="I13">_xll.BDP($A13,I$1)/100</f>
        <v>0.16331240000000002</v>
      </c>
    </row>
    <row r="14" spans="1:9" x14ac:dyDescent="0.25">
      <c r="A14" s="1" t="s">
        <v>28</v>
      </c>
      <c r="B14" s="1" t="s">
        <v>18</v>
      </c>
      <c r="C14" s="1" t="s">
        <v>29</v>
      </c>
      <c r="D14" s="1" t="s">
        <v>30</v>
      </c>
      <c r="E14" s="1" t="s">
        <v>15</v>
      </c>
      <c r="F14" s="1" t="str" cm="1">
        <f t="array" ref="F14">_xll.BDP($A14,F$1)</f>
        <v>BITMINE IMMERSIO</v>
      </c>
      <c r="G14" s="6" cm="1">
        <f t="array" ref="G14">_xll.BDP($A14,G$1)/100</f>
        <v>-9.953271000000001E-2</v>
      </c>
      <c r="H14" s="6" cm="1">
        <f t="array" ref="H14">_xll.BDP($A14,H$1)/100</f>
        <v>-9.9532690000000007E-2</v>
      </c>
      <c r="I14" s="6" cm="1">
        <f t="array" ref="I14">_xll.BDP($A14,I$1)/100</f>
        <v>-0.29023939999999998</v>
      </c>
    </row>
    <row r="15" spans="1:9" x14ac:dyDescent="0.25">
      <c r="A15" s="1" t="s">
        <v>22</v>
      </c>
      <c r="B15" s="1" t="s">
        <v>18</v>
      </c>
      <c r="C15" s="1" t="s">
        <v>29</v>
      </c>
      <c r="D15" s="1" t="s">
        <v>30</v>
      </c>
      <c r="E15" s="1" t="s">
        <v>15</v>
      </c>
      <c r="F15" s="1" t="str" cm="1">
        <f t="array" ref="F15">_xll.BDP($A15,F$1)</f>
        <v>COINBASE GLOBA-A</v>
      </c>
      <c r="G15" s="6" cm="1">
        <f t="array" ref="G15">_xll.BDP($A15,G$1)/100</f>
        <v>6.7103369999999994E-3</v>
      </c>
      <c r="H15" s="6" cm="1">
        <f t="array" ref="H15">_xll.BDP($A15,H$1)/100</f>
        <v>6.7103139999999993E-3</v>
      </c>
      <c r="I15" s="6" cm="1">
        <f t="array" ref="I15">_xll.BDP($A15,I$1)/100</f>
        <v>-0.16410189999999999</v>
      </c>
    </row>
    <row r="16" spans="1:9" x14ac:dyDescent="0.25">
      <c r="A16" s="1" t="s">
        <v>31</v>
      </c>
      <c r="B16" s="1" t="s">
        <v>18</v>
      </c>
      <c r="C16" s="1" t="s">
        <v>29</v>
      </c>
      <c r="D16" s="1" t="s">
        <v>30</v>
      </c>
      <c r="E16" s="1" t="s">
        <v>15</v>
      </c>
      <c r="F16" s="1" t="str" cm="1">
        <f t="array" ref="F16">_xll.BDP($A16,F$1)</f>
        <v>GALAXY DIGITAL I</v>
      </c>
      <c r="G16" s="6" cm="1">
        <f t="array" ref="G16">_xll.BDP($A16,G$1)/100</f>
        <v>7.7988340000000003E-2</v>
      </c>
      <c r="H16" s="6" cm="1">
        <f t="array" ref="H16">_xll.BDP($A16,H$1)/100</f>
        <v>7.798832E-2</v>
      </c>
      <c r="I16" s="6" cm="1">
        <f t="array" ref="I16">_xll.BDP($A16,I$1)/100</f>
        <v>0.32289800000000002</v>
      </c>
    </row>
    <row r="17" spans="1:9" x14ac:dyDescent="0.25">
      <c r="A17" s="1" t="s">
        <v>32</v>
      </c>
      <c r="B17" s="1" t="s">
        <v>18</v>
      </c>
      <c r="C17" s="1" t="s">
        <v>29</v>
      </c>
      <c r="D17" s="1" t="s">
        <v>30</v>
      </c>
      <c r="E17" s="1" t="s">
        <v>15</v>
      </c>
      <c r="F17" s="1" t="str" cm="1">
        <f t="array" ref="F17">_xll.BDP($A17,F$1)</f>
        <v>STRATEGY INC</v>
      </c>
      <c r="G17" s="6" cm="1">
        <f t="array" ref="G17">_xll.BDP($A17,G$1)/100</f>
        <v>-3.8440620000000002E-2</v>
      </c>
      <c r="H17" s="6" cm="1">
        <f t="array" ref="H17">_xll.BDP($A17,H$1)/100</f>
        <v>-3.8440599999999998E-2</v>
      </c>
      <c r="I17" s="6" cm="1">
        <f t="array" ref="I17">_xll.BDP($A17,I$1)/100</f>
        <v>4.6989159999999995E-2</v>
      </c>
    </row>
    <row r="18" spans="1:9" x14ac:dyDescent="0.25">
      <c r="A18" s="1" t="s">
        <v>33</v>
      </c>
      <c r="B18" s="1" t="s">
        <v>18</v>
      </c>
      <c r="C18" s="1" t="s">
        <v>29</v>
      </c>
      <c r="D18" s="1" t="s">
        <v>30</v>
      </c>
      <c r="E18" s="1" t="s">
        <v>15</v>
      </c>
      <c r="F18" s="1" t="str" cm="1">
        <f t="array" ref="F18">_xll.BDP($A18,F$1)</f>
        <v>SHARPLINK INC</v>
      </c>
      <c r="G18" s="6" cm="1">
        <f t="array" ref="G18">_xll.BDP($A18,G$1)/100</f>
        <v>-0.15138889999999999</v>
      </c>
      <c r="H18" s="6" cm="1">
        <f t="array" ref="H18">_xll.BDP($A18,H$1)/100</f>
        <v>-0.15138889999999999</v>
      </c>
      <c r="I18" s="6" cm="1">
        <f t="array" ref="I18">_xll.BDP($A18,I$1)/100</f>
        <v>-0.31655480000000003</v>
      </c>
    </row>
    <row r="19" spans="1:9" x14ac:dyDescent="0.25">
      <c r="A19" s="1" t="s">
        <v>34</v>
      </c>
      <c r="B19" s="1" t="s">
        <v>18</v>
      </c>
      <c r="C19" s="1" t="s">
        <v>29</v>
      </c>
      <c r="D19" s="1" t="s">
        <v>35</v>
      </c>
      <c r="E19" s="1" t="s">
        <v>15</v>
      </c>
      <c r="F19" s="1" t="str" cm="1">
        <f t="array" ref="F19">_xll.BDP($A19,F$1)</f>
        <v>BIT DIGITAL INC</v>
      </c>
      <c r="G19" s="6" cm="1">
        <f t="array" ref="G19">_xll.BDP($A19,G$1)/100</f>
        <v>0.3377483</v>
      </c>
      <c r="H19" s="6" cm="1">
        <f t="array" ref="H19">_xll.BDP($A19,H$1)/100</f>
        <v>0.33774839999999995</v>
      </c>
      <c r="I19" s="6" cm="1">
        <f t="array" ref="I19">_xll.BDP($A19,I$1)/100</f>
        <v>6.8783079999999996E-2</v>
      </c>
    </row>
    <row r="20" spans="1:9" x14ac:dyDescent="0.25">
      <c r="A20" s="1" t="s">
        <v>36</v>
      </c>
      <c r="B20" s="1" t="s">
        <v>18</v>
      </c>
      <c r="C20" s="1" t="s">
        <v>29</v>
      </c>
      <c r="D20" s="1" t="s">
        <v>35</v>
      </c>
      <c r="E20" s="1" t="s">
        <v>15</v>
      </c>
      <c r="F20" s="1" t="str" cm="1">
        <f t="array" ref="F20">_xll.BDP($A20,F$1)</f>
        <v>BITDEER TECHNOLO</v>
      </c>
      <c r="G20" s="6" cm="1">
        <f t="array" ref="G20">_xll.BDP($A20,G$1)/100</f>
        <v>0.54915849999999999</v>
      </c>
      <c r="H20" s="6" cm="1">
        <f t="array" ref="H20">_xll.BDP($A20,H$1)/100</f>
        <v>0.54915860000000005</v>
      </c>
      <c r="I20" s="6" cm="1">
        <f t="array" ref="I20">_xll.BDP($A20,I$1)/100</f>
        <v>0.56021410000000005</v>
      </c>
    </row>
    <row r="21" spans="1:9" x14ac:dyDescent="0.25">
      <c r="A21" s="1" t="s">
        <v>37</v>
      </c>
      <c r="B21" s="1" t="s">
        <v>18</v>
      </c>
      <c r="C21" s="1" t="s">
        <v>29</v>
      </c>
      <c r="D21" s="1" t="s">
        <v>35</v>
      </c>
      <c r="E21" s="1" t="s">
        <v>15</v>
      </c>
      <c r="F21" s="1" t="str" cm="1">
        <f t="array" ref="F21">_xll.BDP($A21,F$1)</f>
        <v>CANAAN INC</v>
      </c>
      <c r="G21" s="6" cm="1">
        <f t="array" ref="G21">_xll.BDP($A21,G$1)/100</f>
        <v>-0.2248687</v>
      </c>
      <c r="H21" s="6" cm="1">
        <f t="array" ref="H21">_xll.BDP($A21,H$1)/100</f>
        <v>-0.22486879999999998</v>
      </c>
      <c r="I21" s="6" cm="1">
        <f t="array" ref="I21">_xll.BDP($A21,I$1)/100</f>
        <v>-0.4010145</v>
      </c>
    </row>
    <row r="22" spans="1:9" x14ac:dyDescent="0.25">
      <c r="A22" s="1" t="s">
        <v>38</v>
      </c>
      <c r="B22" s="1" t="s">
        <v>18</v>
      </c>
      <c r="C22" s="1" t="s">
        <v>29</v>
      </c>
      <c r="D22" s="1" t="s">
        <v>35</v>
      </c>
      <c r="E22" s="1" t="s">
        <v>15</v>
      </c>
      <c r="F22" s="1" t="str" cm="1">
        <f t="array" ref="F22">_xll.BDP($A22,F$1)</f>
        <v>CIPHER DIGITAL I</v>
      </c>
      <c r="G22" s="6" cm="1">
        <f t="array" ref="G22">_xll.BDP($A22,G$1)/100</f>
        <v>0.33314540000000004</v>
      </c>
      <c r="H22" s="6" cm="1">
        <f t="array" ref="H22">_xll.BDP($A22,H$1)/100</f>
        <v>0.33314549999999998</v>
      </c>
      <c r="I22" s="6" cm="1">
        <f t="array" ref="I22">_xll.BDP($A22,I$1)/100</f>
        <v>0.60230349999999999</v>
      </c>
    </row>
    <row r="23" spans="1:9" x14ac:dyDescent="0.25">
      <c r="A23" s="1" t="s">
        <v>39</v>
      </c>
      <c r="B23" s="1" t="s">
        <v>18</v>
      </c>
      <c r="C23" s="1" t="s">
        <v>29</v>
      </c>
      <c r="D23" s="1" t="s">
        <v>35</v>
      </c>
      <c r="E23" s="1" t="s">
        <v>15</v>
      </c>
      <c r="F23" s="1" t="str" cm="1">
        <f t="array" ref="F23">_xll.BDP($A23,F$1)</f>
        <v>CLEANSPARK INC</v>
      </c>
      <c r="G23" s="6" cm="1">
        <f t="array" ref="G23">_xll.BDP($A23,G$1)/100</f>
        <v>0.45969670000000001</v>
      </c>
      <c r="H23" s="6" cm="1">
        <f t="array" ref="H23">_xll.BDP($A23,H$1)/100</f>
        <v>0.45969679999999996</v>
      </c>
      <c r="I23" s="6" cm="1">
        <f t="array" ref="I23">_xll.BDP($A23,I$1)/100</f>
        <v>0.80731229999999998</v>
      </c>
    </row>
    <row r="24" spans="1:9" x14ac:dyDescent="0.25">
      <c r="A24" s="1" t="s">
        <v>40</v>
      </c>
      <c r="B24" s="1" t="s">
        <v>18</v>
      </c>
      <c r="C24" s="1" t="s">
        <v>29</v>
      </c>
      <c r="D24" s="1" t="s">
        <v>35</v>
      </c>
      <c r="E24" s="1" t="s">
        <v>15</v>
      </c>
      <c r="F24" s="1" t="str" cm="1">
        <f t="array" ref="F24">_xll.BDP($A24,F$1)</f>
        <v>CORE SCIENTIFIC</v>
      </c>
      <c r="G24" s="6" cm="1">
        <f t="array" ref="G24">_xll.BDP($A24,G$1)/100</f>
        <v>0.34250000000000003</v>
      </c>
      <c r="H24" s="6" cm="1">
        <f t="array" ref="H24">_xll.BDP($A24,H$1)/100</f>
        <v>0.34250000000000003</v>
      </c>
      <c r="I24" s="6" cm="1">
        <f t="array" ref="I24">_xll.BDP($A24,I$1)/100</f>
        <v>0.84409339999999999</v>
      </c>
    </row>
    <row r="25" spans="1:9" x14ac:dyDescent="0.25">
      <c r="A25" s="1" t="s">
        <v>41</v>
      </c>
      <c r="B25" s="1" t="s">
        <v>18</v>
      </c>
      <c r="C25" s="1" t="s">
        <v>29</v>
      </c>
      <c r="D25" s="1" t="s">
        <v>35</v>
      </c>
      <c r="E25" s="1" t="s">
        <v>15</v>
      </c>
      <c r="F25" s="1" t="str" cm="1">
        <f t="array" ref="F25">_xll.BDP($A25,F$1)</f>
        <v>HIVE DIGITAL TEC</v>
      </c>
      <c r="G25" s="6" cm="1">
        <f t="array" ref="G25">_xll.BDP($A25,G$1)/100</f>
        <v>0.89024389999999998</v>
      </c>
      <c r="H25" s="6" cm="1">
        <f t="array" ref="H25">_xll.BDP($A25,H$1)/100</f>
        <v>0.89024389999999998</v>
      </c>
      <c r="I25" s="6" cm="1">
        <f t="array" ref="I25">_xll.BDP($A25,I$1)/100</f>
        <v>0.75141239999999998</v>
      </c>
    </row>
    <row r="26" spans="1:9" x14ac:dyDescent="0.25">
      <c r="A26" s="1" t="s">
        <v>42</v>
      </c>
      <c r="B26" s="1" t="s">
        <v>18</v>
      </c>
      <c r="C26" s="1" t="s">
        <v>29</v>
      </c>
      <c r="D26" s="1" t="s">
        <v>35</v>
      </c>
      <c r="E26" s="1" t="s">
        <v>15</v>
      </c>
      <c r="F26" s="1" t="str" cm="1">
        <f t="array" ref="F26">_xll.BDP($A26,F$1)</f>
        <v>HUT 8 CORP</v>
      </c>
      <c r="G26" s="6" cm="1">
        <f t="array" ref="G26">_xll.BDP($A26,G$1)/100</f>
        <v>0.675153</v>
      </c>
      <c r="H26" s="6" cm="1">
        <f t="array" ref="H26">_xll.BDP($A26,H$1)/100</f>
        <v>0.675153</v>
      </c>
      <c r="I26" s="6" cm="1">
        <f t="array" ref="I26">_xll.BDP($A26,I$1)/100</f>
        <v>1.731147</v>
      </c>
    </row>
    <row r="27" spans="1:9" x14ac:dyDescent="0.25">
      <c r="A27" s="1" t="s">
        <v>43</v>
      </c>
      <c r="B27" s="1" t="s">
        <v>18</v>
      </c>
      <c r="C27" s="1" t="s">
        <v>29</v>
      </c>
      <c r="D27" s="1" t="s">
        <v>35</v>
      </c>
      <c r="E27" s="1" t="s">
        <v>15</v>
      </c>
      <c r="F27" s="1" t="str" cm="1">
        <f t="array" ref="F27">_xll.BDP($A27,F$1)</f>
        <v>IREN LTD</v>
      </c>
      <c r="G27" s="6" cm="1">
        <f t="array" ref="G27">_xll.BDP($A27,G$1)/100</f>
        <v>0.39617669999999999</v>
      </c>
      <c r="H27" s="6" cm="1">
        <f t="array" ref="H27">_xll.BDP($A27,H$1)/100</f>
        <v>0.39617669999999999</v>
      </c>
      <c r="I27" s="6" cm="1">
        <f t="array" ref="I27">_xll.BDP($A27,I$1)/100</f>
        <v>0.68228750000000005</v>
      </c>
    </row>
    <row r="28" spans="1:9" x14ac:dyDescent="0.25">
      <c r="A28" s="1" t="s">
        <v>44</v>
      </c>
      <c r="B28" s="1" t="s">
        <v>18</v>
      </c>
      <c r="C28" s="1" t="s">
        <v>29</v>
      </c>
      <c r="D28" s="1" t="s">
        <v>35</v>
      </c>
      <c r="E28" s="1" t="s">
        <v>15</v>
      </c>
      <c r="F28" s="1" t="str" cm="1">
        <f t="array" ref="F28">_xll.BDP($A28,F$1)</f>
        <v>MARA HOLDINGS IN</v>
      </c>
      <c r="G28" s="6" cm="1">
        <f t="array" ref="G28">_xll.BDP($A28,G$1)/100</f>
        <v>0.1993328</v>
      </c>
      <c r="H28" s="6" cm="1">
        <f t="array" ref="H28">_xll.BDP($A28,H$1)/100</f>
        <v>0.1993328</v>
      </c>
      <c r="I28" s="6" cm="1">
        <f t="array" ref="I28">_xll.BDP($A28,I$1)/100</f>
        <v>0.60133639999999999</v>
      </c>
    </row>
    <row r="29" spans="1:9" x14ac:dyDescent="0.25">
      <c r="A29" s="1" t="s">
        <v>45</v>
      </c>
      <c r="B29" s="1" t="s">
        <v>18</v>
      </c>
      <c r="C29" s="1" t="s">
        <v>29</v>
      </c>
      <c r="D29" s="1" t="s">
        <v>35</v>
      </c>
      <c r="E29" s="1" t="s">
        <v>15</v>
      </c>
      <c r="F29" s="1" t="str" cm="1">
        <f t="array" ref="F29">_xll.BDP($A29,F$1)</f>
        <v>RIOT PLATFORMS I</v>
      </c>
      <c r="G29" s="6" cm="1">
        <f t="array" ref="G29">_xll.BDP($A29,G$1)/100</f>
        <v>0.57250579999999995</v>
      </c>
      <c r="H29" s="6" cm="1">
        <f t="array" ref="H29">_xll.BDP($A29,H$1)/100</f>
        <v>0.57250579999999995</v>
      </c>
      <c r="I29" s="6" cm="1">
        <f t="array" ref="I29">_xll.BDP($A29,I$1)/100</f>
        <v>1.1396999999999999</v>
      </c>
    </row>
    <row r="30" spans="1:9" x14ac:dyDescent="0.25">
      <c r="A30" s="1" t="s">
        <v>46</v>
      </c>
      <c r="B30" s="1" t="s">
        <v>18</v>
      </c>
      <c r="C30" s="1" t="s">
        <v>29</v>
      </c>
      <c r="D30" s="1" t="s">
        <v>35</v>
      </c>
      <c r="E30" s="1" t="s">
        <v>15</v>
      </c>
      <c r="F30" s="1" t="str" cm="1">
        <f t="array" ref="F30">_xll.BDP($A30,F$1)</f>
        <v>TERAWULF INC</v>
      </c>
      <c r="G30" s="6" cm="1">
        <f t="array" ref="G30">_xll.BDP($A30,G$1)/100</f>
        <v>0.17625399999999999</v>
      </c>
      <c r="H30" s="6" cm="1">
        <f t="array" ref="H30">_xll.BDP($A30,H$1)/100</f>
        <v>0.1762541</v>
      </c>
      <c r="I30" s="6" cm="1">
        <f t="array" ref="I30">_xll.BDP($A30,I$1)/100</f>
        <v>1.2245429999999999</v>
      </c>
    </row>
    <row r="31" spans="1:9" x14ac:dyDescent="0.25">
      <c r="A31" s="1" t="s">
        <v>47</v>
      </c>
      <c r="B31" s="1" t="s">
        <v>48</v>
      </c>
      <c r="C31" s="1" t="s">
        <v>49</v>
      </c>
      <c r="D31" s="1" t="s">
        <v>50</v>
      </c>
      <c r="E31" s="1" t="s">
        <v>15</v>
      </c>
      <c r="F31" s="1" t="str" cm="1">
        <f t="array" ref="F31">_xll.BDP($A31,F$1)</f>
        <v>ACCENTURE PLC-A</v>
      </c>
      <c r="G31" s="6" cm="1">
        <f t="array" ref="G31">_xll.BDP($A31,G$1)/100</f>
        <v>4.67797E-2</v>
      </c>
      <c r="H31" s="6" cm="1">
        <f t="array" ref="H31">_xll.BDP($A31,H$1)/100</f>
        <v>4.6779659999999994E-2</v>
      </c>
      <c r="I31" s="6" cm="1">
        <f t="array" ref="I31">_xll.BDP($A31,I$1)/100</f>
        <v>-0.30275809999999997</v>
      </c>
    </row>
    <row r="32" spans="1:9" x14ac:dyDescent="0.25">
      <c r="A32" s="1" t="s">
        <v>51</v>
      </c>
      <c r="B32" s="1" t="s">
        <v>48</v>
      </c>
      <c r="C32" s="1" t="s">
        <v>49</v>
      </c>
      <c r="D32" s="1" t="s">
        <v>50</v>
      </c>
      <c r="E32" s="1" t="s">
        <v>15</v>
      </c>
      <c r="F32" s="1" t="str" cm="1">
        <f t="array" ref="F32">_xll.BDP($A32,F$1)</f>
        <v>BOOZ ALLEN HAMIL</v>
      </c>
      <c r="G32" s="6" cm="1">
        <f t="array" ref="G32">_xll.BDP($A32,G$1)/100</f>
        <v>1.8130379999999998E-2</v>
      </c>
      <c r="H32" s="6" cm="1">
        <f t="array" ref="H32">_xll.BDP($A32,H$1)/100</f>
        <v>1.8130429999999999E-2</v>
      </c>
      <c r="I32" s="6" cm="1">
        <f t="array" ref="I32">_xll.BDP($A32,I$1)/100</f>
        <v>-6.1403520000000003E-2</v>
      </c>
    </row>
    <row r="33" spans="1:9" x14ac:dyDescent="0.25">
      <c r="A33" s="1" t="s">
        <v>52</v>
      </c>
      <c r="B33" s="1" t="s">
        <v>48</v>
      </c>
      <c r="C33" s="1" t="s">
        <v>49</v>
      </c>
      <c r="D33" s="1" t="s">
        <v>50</v>
      </c>
      <c r="E33" s="1" t="s">
        <v>15</v>
      </c>
      <c r="F33" s="1" t="str" cm="1">
        <f t="array" ref="F33">_xll.BDP($A33,F$1)</f>
        <v>CACI INTL-A</v>
      </c>
      <c r="G33" s="6" cm="1">
        <f t="array" ref="G33">_xll.BDP($A33,G$1)/100</f>
        <v>-1.1606419999999999E-2</v>
      </c>
      <c r="H33" s="6" cm="1">
        <f t="array" ref="H33">_xll.BDP($A33,H$1)/100</f>
        <v>-1.1606380000000001E-2</v>
      </c>
      <c r="I33" s="6" cm="1">
        <f t="array" ref="I33">_xll.BDP($A33,I$1)/100</f>
        <v>-3.6223040000000005E-2</v>
      </c>
    </row>
    <row r="34" spans="1:9" x14ac:dyDescent="0.25">
      <c r="A34" s="1" t="s">
        <v>53</v>
      </c>
      <c r="B34" s="1" t="s">
        <v>48</v>
      </c>
      <c r="C34" s="1" t="s">
        <v>49</v>
      </c>
      <c r="D34" s="1" t="s">
        <v>50</v>
      </c>
      <c r="E34" s="1" t="s">
        <v>15</v>
      </c>
      <c r="F34" s="1" t="str" cm="1">
        <f t="array" ref="F34">_xll.BDP($A34,F$1)</f>
        <v>LEIDOS HOLDINGS</v>
      </c>
      <c r="G34" s="6" cm="1">
        <f t="array" ref="G34">_xll.BDP($A34,G$1)/100</f>
        <v>-0.14354639999999999</v>
      </c>
      <c r="H34" s="6" cm="1">
        <f t="array" ref="H34">_xll.BDP($A34,H$1)/100</f>
        <v>-0.14354639999999999</v>
      </c>
      <c r="I34" s="6" cm="1">
        <f t="array" ref="I34">_xll.BDP($A34,I$1)/100</f>
        <v>-0.29157430000000001</v>
      </c>
    </row>
    <row r="35" spans="1:9" x14ac:dyDescent="0.25">
      <c r="A35" s="1" t="s">
        <v>54</v>
      </c>
      <c r="B35" s="1" t="s">
        <v>48</v>
      </c>
      <c r="C35" s="1" t="s">
        <v>49</v>
      </c>
      <c r="D35" s="1" t="s">
        <v>55</v>
      </c>
      <c r="E35" s="1" t="s">
        <v>15</v>
      </c>
      <c r="F35" s="1" t="str" cm="1">
        <f t="array" ref="F35">_xll.BDP($A35,F$1)</f>
        <v>CROWDSTRIKE HO-A</v>
      </c>
      <c r="G35" s="6" cm="1">
        <f t="array" ref="G35">_xll.BDP($A35,G$1)/100</f>
        <v>0.63993270000000002</v>
      </c>
      <c r="H35" s="6" cm="1">
        <f t="array" ref="H35">_xll.BDP($A35,H$1)/100</f>
        <v>0.63993270000000002</v>
      </c>
      <c r="I35" s="6" cm="1">
        <f t="array" ref="I35">_xll.BDP($A35,I$1)/100</f>
        <v>0.55943339999999997</v>
      </c>
    </row>
    <row r="36" spans="1:9" x14ac:dyDescent="0.25">
      <c r="A36" s="1" t="s">
        <v>56</v>
      </c>
      <c r="B36" s="1" t="s">
        <v>48</v>
      </c>
      <c r="C36" s="1" t="s">
        <v>49</v>
      </c>
      <c r="D36" s="1" t="s">
        <v>55</v>
      </c>
      <c r="E36" s="1" t="s">
        <v>15</v>
      </c>
      <c r="F36" s="1" t="str" cm="1">
        <f t="array" ref="F36">_xll.BDP($A36,F$1)</f>
        <v>FORTINET INC</v>
      </c>
      <c r="G36" s="6" cm="1">
        <f t="array" ref="G36">_xll.BDP($A36,G$1)/100</f>
        <v>0.63646069999999999</v>
      </c>
      <c r="H36" s="6" cm="1">
        <f t="array" ref="H36">_xll.BDP($A36,H$1)/100</f>
        <v>0.63646069999999999</v>
      </c>
      <c r="I36" s="6" cm="1">
        <f t="array" ref="I36">_xll.BDP($A36,I$1)/100</f>
        <v>0.7374385</v>
      </c>
    </row>
    <row r="37" spans="1:9" x14ac:dyDescent="0.25">
      <c r="A37" s="1" t="s">
        <v>57</v>
      </c>
      <c r="B37" s="1" t="s">
        <v>48</v>
      </c>
      <c r="C37" s="1" t="s">
        <v>49</v>
      </c>
      <c r="D37" s="1" t="s">
        <v>55</v>
      </c>
      <c r="E37" s="1" t="s">
        <v>15</v>
      </c>
      <c r="F37" s="1" t="str" cm="1">
        <f t="array" ref="F37">_xll.BDP($A37,F$1)</f>
        <v>IBM</v>
      </c>
      <c r="G37" s="6" cm="1">
        <f t="array" ref="G37">_xll.BDP($A37,G$1)/100</f>
        <v>0.28928909999999997</v>
      </c>
      <c r="H37" s="6" cm="1">
        <f t="array" ref="H37">_xll.BDP($A37,H$1)/100</f>
        <v>0.28928909999999997</v>
      </c>
      <c r="I37" s="6" cm="1">
        <f t="array" ref="I37">_xll.BDP($A37,I$1)/100</f>
        <v>5.3678420000000003E-3</v>
      </c>
    </row>
    <row r="38" spans="1:9" x14ac:dyDescent="0.25">
      <c r="A38" s="1" t="s">
        <v>58</v>
      </c>
      <c r="B38" s="1" t="s">
        <v>48</v>
      </c>
      <c r="C38" s="1" t="s">
        <v>49</v>
      </c>
      <c r="D38" s="1" t="s">
        <v>55</v>
      </c>
      <c r="E38" s="1" t="s">
        <v>15</v>
      </c>
      <c r="F38" s="1" t="str" cm="1">
        <f t="array" ref="F38">_xll.BDP($A38,F$1)</f>
        <v>CLOUDFLARE INC-A</v>
      </c>
      <c r="G38" s="6" cm="1">
        <f t="array" ref="G38">_xll.BDP($A38,G$1)/100</f>
        <v>0.17978240000000001</v>
      </c>
      <c r="H38" s="6" cm="1">
        <f t="array" ref="H38">_xll.BDP($A38,H$1)/100</f>
        <v>0.17978240000000001</v>
      </c>
      <c r="I38" s="6" cm="1">
        <f t="array" ref="I38">_xll.BDP($A38,I$1)/100</f>
        <v>0.2265788</v>
      </c>
    </row>
    <row r="39" spans="1:9" x14ac:dyDescent="0.25">
      <c r="A39" s="1" t="s">
        <v>59</v>
      </c>
      <c r="B39" s="1" t="s">
        <v>48</v>
      </c>
      <c r="C39" s="1" t="s">
        <v>49</v>
      </c>
      <c r="D39" s="1" t="s">
        <v>55</v>
      </c>
      <c r="E39" s="1" t="s">
        <v>15</v>
      </c>
      <c r="F39" s="1" t="str" cm="1">
        <f t="array" ref="F39">_xll.BDP($A39,F$1)</f>
        <v>PALO ALTO NETWOR</v>
      </c>
      <c r="G39" s="6" cm="1">
        <f t="array" ref="G39">_xll.BDP($A39,G$1)/100</f>
        <v>0.57087889999999997</v>
      </c>
      <c r="H39" s="6" cm="1">
        <f t="array" ref="H39">_xll.BDP($A39,H$1)/100</f>
        <v>0.57087880000000002</v>
      </c>
      <c r="I39" s="6" cm="1">
        <f t="array" ref="I39">_xll.BDP($A39,I$1)/100</f>
        <v>0.52926169999999995</v>
      </c>
    </row>
    <row r="40" spans="1:9" x14ac:dyDescent="0.25">
      <c r="A40" s="1" t="s">
        <v>60</v>
      </c>
      <c r="B40" s="1" t="s">
        <v>48</v>
      </c>
      <c r="C40" s="1" t="s">
        <v>61</v>
      </c>
      <c r="D40" s="1" t="s">
        <v>62</v>
      </c>
      <c r="E40" s="1" t="s">
        <v>15</v>
      </c>
      <c r="F40" s="1" t="str" cm="1">
        <f t="array" ref="F40">_xll.BDP($A40,F$1)</f>
        <v>AMAZON.COM INC</v>
      </c>
      <c r="G40" s="6" cm="1">
        <f t="array" ref="G40">_xll.BDP($A40,G$1)/100</f>
        <v>2.1051839999999999E-2</v>
      </c>
      <c r="H40" s="6" cm="1">
        <f t="array" ref="H40">_xll.BDP($A40,H$1)/100</f>
        <v>2.105185E-2</v>
      </c>
      <c r="I40" s="6" cm="1">
        <f t="array" ref="I40">_xll.BDP($A40,I$1)/100</f>
        <v>0.17251529999999998</v>
      </c>
    </row>
    <row r="41" spans="1:9" x14ac:dyDescent="0.25">
      <c r="A41" s="1" t="s">
        <v>63</v>
      </c>
      <c r="B41" s="1" t="s">
        <v>48</v>
      </c>
      <c r="C41" s="1" t="s">
        <v>61</v>
      </c>
      <c r="D41" s="1" t="s">
        <v>62</v>
      </c>
      <c r="E41" s="1" t="s">
        <v>15</v>
      </c>
      <c r="F41" s="1" t="str" cm="1">
        <f t="array" ref="F41">_xll.BDP($A41,F$1)</f>
        <v>ALIBABA GRP-ADR</v>
      </c>
      <c r="G41" s="6" cm="1">
        <f t="array" ref="G41">_xll.BDP($A41,G$1)/100</f>
        <v>-5.808311E-2</v>
      </c>
      <c r="H41" s="6" cm="1">
        <f t="array" ref="H41">_xll.BDP($A41,H$1)/100</f>
        <v>-5.8083140000000005E-2</v>
      </c>
      <c r="I41" s="6" cm="1">
        <f t="array" ref="I41">_xll.BDP($A41,I$1)/100</f>
        <v>-0.15254470000000001</v>
      </c>
    </row>
    <row r="42" spans="1:9" x14ac:dyDescent="0.25">
      <c r="A42" s="1" t="s">
        <v>64</v>
      </c>
      <c r="B42" s="1" t="s">
        <v>48</v>
      </c>
      <c r="C42" s="1" t="s">
        <v>61</v>
      </c>
      <c r="D42" s="1" t="s">
        <v>62</v>
      </c>
      <c r="E42" s="1" t="s">
        <v>15</v>
      </c>
      <c r="F42" s="1" t="str" cm="1">
        <f t="array" ref="F42">_xll.BDP($A42,F$1)</f>
        <v>ALPHABET INC-A</v>
      </c>
      <c r="G42" s="6" cm="1">
        <f t="array" ref="G42">_xll.BDP($A42,G$1)/100</f>
        <v>-1.159044E-2</v>
      </c>
      <c r="H42" s="6" cm="1">
        <f t="array" ref="H42">_xll.BDP($A42,H$1)/100</f>
        <v>-1.1590410000000001E-2</v>
      </c>
      <c r="I42" s="6" cm="1">
        <f t="array" ref="I42">_xll.BDP($A42,I$1)/100</f>
        <v>0.2151438</v>
      </c>
    </row>
    <row r="43" spans="1:9" x14ac:dyDescent="0.25">
      <c r="A43" s="1" t="s">
        <v>65</v>
      </c>
      <c r="B43" s="1" t="s">
        <v>48</v>
      </c>
      <c r="C43" s="1" t="s">
        <v>61</v>
      </c>
      <c r="D43" s="1" t="s">
        <v>62</v>
      </c>
      <c r="E43" s="1" t="s">
        <v>15</v>
      </c>
      <c r="F43" s="1" t="str" cm="1">
        <f t="array" ref="F43">_xll.BDP($A43,F$1)</f>
        <v>HONEYWELL INTL</v>
      </c>
      <c r="G43" s="6" cm="1">
        <f t="array" ref="G43">_xll.BDP($A43,G$1)/100</f>
        <v>0.10978400000000001</v>
      </c>
      <c r="H43" s="6" cm="1">
        <f t="array" ref="H43">_xll.BDP($A43,H$1)/100</f>
        <v>0.10978400000000001</v>
      </c>
      <c r="I43" s="6" cm="1">
        <f t="array" ref="I43">_xll.BDP($A43,I$1)/100</f>
        <v>0.21923220000000002</v>
      </c>
    </row>
    <row r="44" spans="1:9" x14ac:dyDescent="0.25">
      <c r="A44" s="1" t="s">
        <v>57</v>
      </c>
      <c r="B44" s="1" t="s">
        <v>48</v>
      </c>
      <c r="C44" s="1" t="s">
        <v>61</v>
      </c>
      <c r="D44" s="1" t="s">
        <v>62</v>
      </c>
      <c r="E44" s="1" t="s">
        <v>15</v>
      </c>
      <c r="F44" s="1" t="str" cm="1">
        <f t="array" ref="F44">_xll.BDP($A44,F$1)</f>
        <v>IBM</v>
      </c>
      <c r="G44" s="6" cm="1">
        <f t="array" ref="G44">_xll.BDP($A44,G$1)/100</f>
        <v>0.28928909999999997</v>
      </c>
      <c r="H44" s="6" cm="1">
        <f t="array" ref="H44">_xll.BDP($A44,H$1)/100</f>
        <v>0.28928909999999997</v>
      </c>
      <c r="I44" s="6" cm="1">
        <f t="array" ref="I44">_xll.BDP($A44,I$1)/100</f>
        <v>5.3678420000000003E-3</v>
      </c>
    </row>
    <row r="45" spans="1:9" x14ac:dyDescent="0.25">
      <c r="A45" s="1" t="s">
        <v>66</v>
      </c>
      <c r="B45" s="1" t="s">
        <v>48</v>
      </c>
      <c r="C45" s="1" t="s">
        <v>61</v>
      </c>
      <c r="D45" s="1" t="s">
        <v>62</v>
      </c>
      <c r="E45" s="1" t="s">
        <v>15</v>
      </c>
      <c r="F45" s="1" t="str" cm="1">
        <f t="array" ref="F45">_xll.BDP($A45,F$1)</f>
        <v>INTEL CORP</v>
      </c>
      <c r="G45" s="6" cm="1">
        <f t="array" ref="G45">_xll.BDP($A45,G$1)/100</f>
        <v>0.21380189999999999</v>
      </c>
      <c r="H45" s="6" cm="1">
        <f t="array" ref="H45">_xll.BDP($A45,H$1)/100</f>
        <v>0.21380179999999999</v>
      </c>
      <c r="I45" s="6" cm="1">
        <f t="array" ref="I45">_xll.BDP($A45,I$1)/100</f>
        <v>2.1078589999999999</v>
      </c>
    </row>
    <row r="46" spans="1:9" x14ac:dyDescent="0.25">
      <c r="A46" s="1" t="s">
        <v>67</v>
      </c>
      <c r="B46" s="1" t="s">
        <v>48</v>
      </c>
      <c r="C46" s="1" t="s">
        <v>61</v>
      </c>
      <c r="D46" s="1" t="s">
        <v>62</v>
      </c>
      <c r="E46" s="1" t="s">
        <v>15</v>
      </c>
      <c r="F46" s="1" t="str" cm="1">
        <f t="array" ref="F46">_xll.BDP($A46,F$1)</f>
        <v>MICROSOFT CORP</v>
      </c>
      <c r="G46" s="6" cm="1">
        <f t="array" ref="G46">_xll.BDP($A46,G$1)/100</f>
        <v>0.1041248</v>
      </c>
      <c r="H46" s="6" cm="1">
        <f t="array" ref="H46">_xll.BDP($A46,H$1)/100</f>
        <v>0.1041248</v>
      </c>
      <c r="I46" s="6" cm="1">
        <f t="array" ref="I46">_xll.BDP($A46,I$1)/100</f>
        <v>-6.9021119999999991E-2</v>
      </c>
    </row>
    <row r="47" spans="1:9" x14ac:dyDescent="0.25">
      <c r="A47" s="1" t="s">
        <v>68</v>
      </c>
      <c r="B47" s="1" t="s">
        <v>48</v>
      </c>
      <c r="C47" s="1" t="s">
        <v>61</v>
      </c>
      <c r="D47" s="1" t="s">
        <v>69</v>
      </c>
      <c r="E47" s="1" t="s">
        <v>15</v>
      </c>
      <c r="F47" s="1" t="str" cm="1">
        <f t="array" ref="F47">_xll.BDP($A47,F$1)</f>
        <v>COHERENT CORP</v>
      </c>
      <c r="G47" s="6" cm="1">
        <f t="array" ref="G47">_xll.BDP($A47,G$1)/100</f>
        <v>0.1306184</v>
      </c>
      <c r="H47" s="6" cm="1">
        <f t="array" ref="H47">_xll.BDP($A47,H$1)/100</f>
        <v>0.1306184</v>
      </c>
      <c r="I47" s="6" cm="1">
        <f t="array" ref="I47">_xll.BDP($A47,I$1)/100</f>
        <v>0.95844390000000002</v>
      </c>
    </row>
    <row r="48" spans="1:9" x14ac:dyDescent="0.25">
      <c r="A48" s="1" t="s">
        <v>70</v>
      </c>
      <c r="B48" s="1" t="s">
        <v>48</v>
      </c>
      <c r="C48" s="1" t="s">
        <v>61</v>
      </c>
      <c r="D48" s="1" t="s">
        <v>69</v>
      </c>
      <c r="E48" s="1" t="s">
        <v>15</v>
      </c>
      <c r="F48" s="1" t="str" cm="1">
        <f t="array" ref="F48">_xll.BDP($A48,F$1)</f>
        <v>FORMFACTOR INC</v>
      </c>
      <c r="G48" s="6" cm="1">
        <f t="array" ref="G48">_xll.BDP($A48,G$1)/100</f>
        <v>-8.3425290000000013E-2</v>
      </c>
      <c r="H48" s="6" cm="1">
        <f t="array" ref="H48">_xll.BDP($A48,H$1)/100</f>
        <v>-8.3425239999999998E-2</v>
      </c>
      <c r="I48" s="6" cm="1">
        <f t="array" ref="I48">_xll.BDP($A48,I$1)/100</f>
        <v>1.2335959999999999</v>
      </c>
    </row>
    <row r="49" spans="1:9" x14ac:dyDescent="0.25">
      <c r="A49" s="1" t="s">
        <v>71</v>
      </c>
      <c r="B49" s="1" t="s">
        <v>48</v>
      </c>
      <c r="C49" s="1" t="s">
        <v>61</v>
      </c>
      <c r="D49" s="1" t="s">
        <v>69</v>
      </c>
      <c r="E49" s="1" t="s">
        <v>15</v>
      </c>
      <c r="F49" s="1" t="str" cm="1">
        <f t="array" ref="F49">_xll.BDP($A49,F$1)</f>
        <v>KEYSIGHT TEC</v>
      </c>
      <c r="G49" s="6" cm="1">
        <f t="array" ref="G49">_xll.BDP($A49,G$1)/100</f>
        <v>-3.3094220000000001E-2</v>
      </c>
      <c r="H49" s="6" cm="1">
        <f t="array" ref="H49">_xll.BDP($A49,H$1)/100</f>
        <v>-3.3094229999999995E-2</v>
      </c>
      <c r="I49" s="6" cm="1">
        <f t="array" ref="I49">_xll.BDP($A49,I$1)/100</f>
        <v>0.66509180000000001</v>
      </c>
    </row>
    <row r="50" spans="1:9" x14ac:dyDescent="0.25">
      <c r="A50" s="1" t="s">
        <v>72</v>
      </c>
      <c r="B50" s="1" t="s">
        <v>48</v>
      </c>
      <c r="C50" s="1" t="s">
        <v>61</v>
      </c>
      <c r="D50" s="1" t="s">
        <v>69</v>
      </c>
      <c r="E50" s="1" t="s">
        <v>15</v>
      </c>
      <c r="F50" s="1" t="str" cm="1">
        <f t="array" ref="F50">_xll.BDP($A50,F$1)</f>
        <v>MKS INC</v>
      </c>
      <c r="G50" s="6" cm="1">
        <f t="array" ref="G50">_xll.BDP($A50,G$1)/100</f>
        <v>0.14276649999999999</v>
      </c>
      <c r="H50" s="6" cm="1">
        <f t="array" ref="H50">_xll.BDP($A50,H$1)/100</f>
        <v>0.14276649999999999</v>
      </c>
      <c r="I50" s="6" cm="1">
        <f t="array" ref="I50">_xll.BDP($A50,I$1)/100</f>
        <v>1.029161</v>
      </c>
    </row>
    <row r="51" spans="1:9" x14ac:dyDescent="0.25">
      <c r="A51" s="1" t="s">
        <v>73</v>
      </c>
      <c r="B51" s="1" t="s">
        <v>48</v>
      </c>
      <c r="C51" s="1" t="s">
        <v>61</v>
      </c>
      <c r="D51" s="1" t="s">
        <v>69</v>
      </c>
      <c r="E51" s="1" t="s">
        <v>15</v>
      </c>
      <c r="F51" s="1" t="str" cm="1">
        <f t="array" ref="F51">_xll.BDP($A51,F$1)</f>
        <v>NVIDIA CORP</v>
      </c>
      <c r="G51" s="6" cm="1">
        <f t="array" ref="G51">_xll.BDP($A51,G$1)/100</f>
        <v>5.7974649999999996E-2</v>
      </c>
      <c r="H51" s="6" cm="1">
        <f t="array" ref="H51">_xll.BDP($A51,H$1)/100</f>
        <v>5.7974610000000003E-2</v>
      </c>
      <c r="I51" s="6" cm="1">
        <f t="array" ref="I51">_xll.BDP($A51,I$1)/100</f>
        <v>0.13211800000000001</v>
      </c>
    </row>
    <row r="52" spans="1:9" x14ac:dyDescent="0.25">
      <c r="A52" s="1" t="s">
        <v>74</v>
      </c>
      <c r="B52" s="1" t="s">
        <v>48</v>
      </c>
      <c r="C52" s="1" t="s">
        <v>61</v>
      </c>
      <c r="D52" s="1" t="s">
        <v>75</v>
      </c>
      <c r="E52" s="1" t="s">
        <v>15</v>
      </c>
      <c r="F52" s="1" t="str" cm="1">
        <f t="array" ref="F52">_xll.BDP($A52,F$1)</f>
        <v>IONQ INC</v>
      </c>
      <c r="G52" s="6" cm="1">
        <f t="array" ref="G52">_xll.BDP($A52,G$1)/100</f>
        <v>0.5972961</v>
      </c>
      <c r="H52" s="6" cm="1">
        <f t="array" ref="H52">_xll.BDP($A52,H$1)/100</f>
        <v>0.5972961</v>
      </c>
      <c r="I52" s="6" cm="1">
        <f t="array" ref="I52">_xll.BDP($A52,I$1)/100</f>
        <v>0.6061957</v>
      </c>
    </row>
    <row r="53" spans="1:9" x14ac:dyDescent="0.25">
      <c r="A53" s="1" t="s">
        <v>76</v>
      </c>
      <c r="B53" s="1" t="s">
        <v>48</v>
      </c>
      <c r="C53" s="1" t="s">
        <v>61</v>
      </c>
      <c r="D53" s="1" t="s">
        <v>75</v>
      </c>
      <c r="E53" s="1" t="s">
        <v>15</v>
      </c>
      <c r="F53" s="1" t="str" cm="1">
        <f t="array" ref="F53">_xll.BDP($A53,F$1)</f>
        <v>D-WAVE QUANTUM I</v>
      </c>
      <c r="G53" s="6" cm="1">
        <f t="array" ref="G53">_xll.BDP($A53,G$1)/100</f>
        <v>0.48619329999999999</v>
      </c>
      <c r="H53" s="6" cm="1">
        <f t="array" ref="H53">_xll.BDP($A53,H$1)/100</f>
        <v>0.48619319999999999</v>
      </c>
      <c r="I53" s="6" cm="1">
        <f t="array" ref="I53">_xll.BDP($A53,I$1)/100</f>
        <v>0.1525813</v>
      </c>
    </row>
    <row r="54" spans="1:9" x14ac:dyDescent="0.25">
      <c r="A54" s="1" t="s">
        <v>77</v>
      </c>
      <c r="B54" s="1" t="s">
        <v>48</v>
      </c>
      <c r="C54" s="1" t="s">
        <v>61</v>
      </c>
      <c r="D54" s="1" t="s">
        <v>75</v>
      </c>
      <c r="E54" s="1" t="s">
        <v>15</v>
      </c>
      <c r="F54" s="1" t="str" cm="1">
        <f t="array" ref="F54">_xll.BDP($A54,F$1)</f>
        <v>QUANTINUUM INC</v>
      </c>
      <c r="G54" s="6" t="str">
        <f>[1]!BError(_xll.BDP($A54,G$1)/100)</f>
        <v>N.A.</v>
      </c>
      <c r="H54" s="6" t="str">
        <f>[1]!BError(_xll.BDP($A54,H$1)/100)</f>
        <v>N.A.</v>
      </c>
      <c r="I54" s="6" t="str">
        <f>[1]!BError(_xll.BDP($A54,I$1)/100)</f>
        <v>N.A.</v>
      </c>
    </row>
    <row r="55" spans="1:9" x14ac:dyDescent="0.25">
      <c r="A55" s="1" t="s">
        <v>78</v>
      </c>
      <c r="B55" s="1" t="s">
        <v>48</v>
      </c>
      <c r="C55" s="1" t="s">
        <v>61</v>
      </c>
      <c r="D55" s="1" t="s">
        <v>75</v>
      </c>
      <c r="E55" s="1" t="s">
        <v>15</v>
      </c>
      <c r="F55" s="1" t="str" cm="1">
        <f t="array" ref="F55">_xll.BDP($A55,F$1)</f>
        <v>QUANTUM COMPUTIN</v>
      </c>
      <c r="G55" s="6" cm="1">
        <f t="array" ref="G55">_xll.BDP($A55,G$1)/100</f>
        <v>0.32594239999999997</v>
      </c>
      <c r="H55" s="6" cm="1">
        <f t="array" ref="H55">_xll.BDP($A55,H$1)/100</f>
        <v>0.32594230000000002</v>
      </c>
      <c r="I55" s="6" cm="1">
        <f t="array" ref="I55">_xll.BDP($A55,I$1)/100</f>
        <v>0.16569199999999998</v>
      </c>
    </row>
    <row r="56" spans="1:9" x14ac:dyDescent="0.25">
      <c r="A56" s="1" t="s">
        <v>79</v>
      </c>
      <c r="B56" s="1" t="s">
        <v>48</v>
      </c>
      <c r="C56" s="1" t="s">
        <v>61</v>
      </c>
      <c r="D56" s="1" t="s">
        <v>75</v>
      </c>
      <c r="E56" s="1" t="s">
        <v>15</v>
      </c>
      <c r="F56" s="1" t="str" cm="1">
        <f t="array" ref="F56">_xll.BDP($A56,F$1)</f>
        <v>RIGETTI COMPUTIN</v>
      </c>
      <c r="G56" s="6" cm="1">
        <f t="array" ref="G56">_xll.BDP($A56,G$1)/100</f>
        <v>0.46361029999999998</v>
      </c>
      <c r="H56" s="6" cm="1">
        <f t="array" ref="H56">_xll.BDP($A56,H$1)/100</f>
        <v>0.46361029999999998</v>
      </c>
      <c r="I56" s="6" cm="1">
        <f t="array" ref="I56">_xll.BDP($A56,I$1)/100</f>
        <v>0.1530474</v>
      </c>
    </row>
    <row r="57" spans="1:9" x14ac:dyDescent="0.25">
      <c r="A57" s="1" t="s">
        <v>80</v>
      </c>
      <c r="B57" s="1" t="s">
        <v>13</v>
      </c>
      <c r="C57" s="1" t="s">
        <v>81</v>
      </c>
      <c r="E57" s="1" t="s">
        <v>82</v>
      </c>
      <c r="F57" s="1" t="str" cm="1">
        <f t="array" ref="F57">_xll.BDP($A57,F$1)</f>
        <v>ASANA INC- CL A</v>
      </c>
      <c r="G57" s="6" cm="1">
        <f t="array" ref="G57">_xll.BDP($A57,G$1)/100</f>
        <v>0.21835439999999998</v>
      </c>
      <c r="H57" s="6" cm="1">
        <f t="array" ref="H57">_xll.BDP($A57,H$1)/100</f>
        <v>0.21835439999999998</v>
      </c>
      <c r="I57" s="6" cm="1">
        <f t="array" ref="I57">_xll.BDP($A57,I$1)/100</f>
        <v>-0.43836620000000004</v>
      </c>
    </row>
    <row r="58" spans="1:9" x14ac:dyDescent="0.25">
      <c r="A58" s="1" t="s">
        <v>83</v>
      </c>
      <c r="B58" s="1" t="s">
        <v>13</v>
      </c>
      <c r="C58" s="1" t="s">
        <v>81</v>
      </c>
      <c r="E58" s="1" t="s">
        <v>82</v>
      </c>
      <c r="F58" s="1" t="str" cm="1">
        <f t="array" ref="F58">_xll.BDP($A58,F$1)</f>
        <v>BOX INC- CLASS A</v>
      </c>
      <c r="G58" s="6" cm="1">
        <f t="array" ref="G58">_xll.BDP($A58,G$1)/100</f>
        <v>0.11404960000000001</v>
      </c>
      <c r="H58" s="6" cm="1">
        <f t="array" ref="H58">_xll.BDP($A58,H$1)/100</f>
        <v>0.11404960000000001</v>
      </c>
      <c r="I58" s="6" cm="1">
        <f t="array" ref="I58">_xll.BDP($A58,I$1)/100</f>
        <v>-9.862921999999999E-2</v>
      </c>
    </row>
    <row r="59" spans="1:9" x14ac:dyDescent="0.25">
      <c r="A59" s="1" t="s">
        <v>84</v>
      </c>
      <c r="B59" s="1" t="s">
        <v>13</v>
      </c>
      <c r="C59" s="1" t="s">
        <v>81</v>
      </c>
      <c r="E59" s="1" t="s">
        <v>82</v>
      </c>
      <c r="F59" s="1" t="str" cm="1">
        <f t="array" ref="F59">_xll.BDP($A59,F$1)</f>
        <v>DROPBOX INC-A</v>
      </c>
      <c r="G59" s="6" cm="1">
        <f t="array" ref="G59">_xll.BDP($A59,G$1)/100</f>
        <v>0.10662820000000001</v>
      </c>
      <c r="H59" s="6" cm="1">
        <f t="array" ref="H59">_xll.BDP($A59,H$1)/100</f>
        <v>0.10662820000000001</v>
      </c>
      <c r="I59" s="6" cm="1">
        <f t="array" ref="I59">_xll.BDP($A59,I$1)/100</f>
        <v>-3.3093499999999998E-2</v>
      </c>
    </row>
    <row r="60" spans="1:9" x14ac:dyDescent="0.25">
      <c r="A60" s="1" t="s">
        <v>85</v>
      </c>
      <c r="B60" s="1" t="s">
        <v>13</v>
      </c>
      <c r="C60" s="1" t="s">
        <v>81</v>
      </c>
      <c r="E60" s="1" t="s">
        <v>82</v>
      </c>
      <c r="F60" s="1" t="str" cm="1">
        <f t="array" ref="F60">_xll.BDP($A60,F$1)</f>
        <v>DOCUSIGN INC</v>
      </c>
      <c r="G60" s="6" cm="1">
        <f t="array" ref="G60">_xll.BDP($A60,G$1)/100</f>
        <v>0.14198740000000001</v>
      </c>
      <c r="H60" s="6" cm="1">
        <f t="array" ref="H60">_xll.BDP($A60,H$1)/100</f>
        <v>0.14198729999999998</v>
      </c>
      <c r="I60" s="6" cm="1">
        <f t="array" ref="I60">_xll.BDP($A60,I$1)/100</f>
        <v>-0.2321638</v>
      </c>
    </row>
    <row r="61" spans="1:9" x14ac:dyDescent="0.25">
      <c r="A61" s="1" t="s">
        <v>86</v>
      </c>
      <c r="B61" s="1" t="s">
        <v>13</v>
      </c>
      <c r="C61" s="1" t="s">
        <v>81</v>
      </c>
      <c r="E61" s="1" t="s">
        <v>82</v>
      </c>
      <c r="F61" s="1" t="str" cm="1">
        <f t="array" ref="F61">_xll.BDP($A61,F$1)</f>
        <v>FRESHWORKS-CL A</v>
      </c>
      <c r="G61" s="6" cm="1">
        <f t="array" ref="G61">_xll.BDP($A61,G$1)/100</f>
        <v>0.18995100000000001</v>
      </c>
      <c r="H61" s="6" cm="1">
        <f t="array" ref="H61">_xll.BDP($A61,H$1)/100</f>
        <v>0.18995100000000001</v>
      </c>
      <c r="I61" s="6" cm="1">
        <f t="array" ref="I61">_xll.BDP($A61,I$1)/100</f>
        <v>-0.2073469</v>
      </c>
    </row>
    <row r="62" spans="1:9" x14ac:dyDescent="0.25">
      <c r="A62" s="1" t="s">
        <v>87</v>
      </c>
      <c r="B62" s="1" t="s">
        <v>13</v>
      </c>
      <c r="C62" s="1" t="s">
        <v>81</v>
      </c>
      <c r="E62" s="1" t="s">
        <v>82</v>
      </c>
      <c r="F62" s="1" t="str" cm="1">
        <f t="array" ref="F62">_xll.BDP($A62,F$1)</f>
        <v>HUBSPOT INC</v>
      </c>
      <c r="G62" s="6" cm="1">
        <f t="array" ref="G62">_xll.BDP($A62,G$1)/100</f>
        <v>-5.0955989999999993E-3</v>
      </c>
      <c r="H62" s="6" cm="1">
        <f t="array" ref="H62">_xll.BDP($A62,H$1)/100</f>
        <v>-5.0955740000000003E-3</v>
      </c>
      <c r="I62" s="6" cm="1">
        <f t="array" ref="I62">_xll.BDP($A62,I$1)/100</f>
        <v>-0.4502118</v>
      </c>
    </row>
    <row r="63" spans="1:9" x14ac:dyDescent="0.25">
      <c r="A63" s="1" t="s">
        <v>88</v>
      </c>
      <c r="B63" s="1" t="s">
        <v>13</v>
      </c>
      <c r="C63" s="1" t="s">
        <v>81</v>
      </c>
      <c r="E63" s="1" t="s">
        <v>82</v>
      </c>
      <c r="F63" s="1" t="str" cm="1">
        <f t="array" ref="F63">_xll.BDP($A63,F$1)</f>
        <v>PAGERDUTY INC</v>
      </c>
      <c r="G63" s="6" cm="1">
        <f t="array" ref="G63">_xll.BDP($A63,G$1)/100</f>
        <v>0.49624059999999998</v>
      </c>
      <c r="H63" s="6" cm="1">
        <f t="array" ref="H63">_xll.BDP($A63,H$1)/100</f>
        <v>0.49624059999999998</v>
      </c>
      <c r="I63" s="6" cm="1">
        <f t="array" ref="I63">_xll.BDP($A63,I$1)/100</f>
        <v>-0.24103739999999999</v>
      </c>
    </row>
    <row r="64" spans="1:9" x14ac:dyDescent="0.25">
      <c r="A64" s="1" t="s">
        <v>89</v>
      </c>
      <c r="B64" s="1" t="s">
        <v>13</v>
      </c>
      <c r="C64" s="1" t="s">
        <v>81</v>
      </c>
      <c r="E64" s="1" t="s">
        <v>82</v>
      </c>
      <c r="F64" s="1" t="str" cm="1">
        <f t="array" ref="F64">_xll.BDP($A64,F$1)</f>
        <v>TWILIO INC - A</v>
      </c>
      <c r="G64" s="6" cm="1">
        <f t="array" ref="G64">_xll.BDP($A64,G$1)/100</f>
        <v>0.28758610000000001</v>
      </c>
      <c r="H64" s="6" cm="1">
        <f t="array" ref="H64">_xll.BDP($A64,H$1)/100</f>
        <v>0.28758610000000001</v>
      </c>
      <c r="I64" s="6" cm="1">
        <f t="array" ref="I64">_xll.BDP($A64,I$1)/100</f>
        <v>0.34026989999999996</v>
      </c>
    </row>
    <row r="65" spans="1:9" x14ac:dyDescent="0.25">
      <c r="A65" s="1" t="s">
        <v>90</v>
      </c>
      <c r="B65" s="1" t="s">
        <v>13</v>
      </c>
      <c r="C65" s="1" t="s">
        <v>81</v>
      </c>
      <c r="E65" s="1" t="s">
        <v>82</v>
      </c>
      <c r="F65" s="1" t="str" cm="1">
        <f t="array" ref="F65">_xll.BDP($A65,F$1)</f>
        <v>ZOOM COMMUNICATI</v>
      </c>
      <c r="G65" s="6" cm="1">
        <f t="array" ref="G65">_xll.BDP($A65,G$1)/100</f>
        <v>4.5702519999999996E-2</v>
      </c>
      <c r="H65" s="6" cm="1">
        <f t="array" ref="H65">_xll.BDP($A65,H$1)/100</f>
        <v>4.5702510000000002E-2</v>
      </c>
      <c r="I65" s="6" cm="1">
        <f t="array" ref="I65">_xll.BDP($A65,I$1)/100</f>
        <v>0.17730910000000003</v>
      </c>
    </row>
    <row r="66" spans="1:9" x14ac:dyDescent="0.25">
      <c r="A66" s="1" t="s">
        <v>91</v>
      </c>
      <c r="B66" s="1" t="s">
        <v>13</v>
      </c>
      <c r="C66" s="1" t="s">
        <v>92</v>
      </c>
      <c r="E66" s="1" t="s">
        <v>15</v>
      </c>
      <c r="F66" s="1" t="str" cm="1">
        <f t="array" ref="F66">_xll.BDP($A66,F$1)</f>
        <v>SALESFORCE INC</v>
      </c>
      <c r="G66" s="6" cm="1">
        <f t="array" ref="G66">_xll.BDP($A66,G$1)/100</f>
        <v>8.2535549999999999E-2</v>
      </c>
      <c r="H66" s="6" cm="1">
        <f t="array" ref="H66">_xll.BDP($A66,H$1)/100</f>
        <v>8.2535549999999999E-2</v>
      </c>
      <c r="I66" s="6" cm="1">
        <f t="array" ref="I66">_xll.BDP($A66,I$1)/100</f>
        <v>-0.27862290000000001</v>
      </c>
    </row>
    <row r="67" spans="1:9" x14ac:dyDescent="0.25">
      <c r="A67" s="1" t="s">
        <v>93</v>
      </c>
      <c r="B67" s="1" t="s">
        <v>13</v>
      </c>
      <c r="C67" s="1" t="s">
        <v>92</v>
      </c>
      <c r="E67" s="1" t="s">
        <v>15</v>
      </c>
      <c r="F67" s="1" t="str" cm="1">
        <f t="array" ref="F67">_xll.BDP($A67,F$1)</f>
        <v>SERVICENOW INC</v>
      </c>
      <c r="G67" s="6" cm="1">
        <f t="array" ref="G67">_xll.BDP($A67,G$1)/100</f>
        <v>0.40833429999999998</v>
      </c>
      <c r="H67" s="6" cm="1">
        <f t="array" ref="H67">_xll.BDP($A67,H$1)/100</f>
        <v>0.40833429999999998</v>
      </c>
      <c r="I67" s="6" cm="1">
        <f t="array" ref="I67">_xll.BDP($A67,I$1)/100</f>
        <v>-0.18813240000000001</v>
      </c>
    </row>
    <row r="68" spans="1:9" x14ac:dyDescent="0.25">
      <c r="A68" s="1" t="s">
        <v>94</v>
      </c>
      <c r="B68" s="1" t="s">
        <v>13</v>
      </c>
      <c r="C68" s="1" t="s">
        <v>95</v>
      </c>
      <c r="D68" s="1" t="s">
        <v>96</v>
      </c>
      <c r="E68" s="1" t="s">
        <v>15</v>
      </c>
      <c r="F68" s="1" t="str" cm="1">
        <f t="array" ref="F68">_xll.BDP($A68,F$1)</f>
        <v>LITE-ON TECH</v>
      </c>
      <c r="G68" s="6" cm="1">
        <f t="array" ref="G68">_xll.BDP($A68,G$1)/100</f>
        <v>0</v>
      </c>
      <c r="H68" s="6" cm="1">
        <f t="array" ref="H68">_xll.BDP($A68,H$1)/100</f>
        <v>0.41265059999999998</v>
      </c>
      <c r="I68" s="6" cm="1">
        <f t="array" ref="I68">_xll.BDP($A68,I$1)/100</f>
        <v>0.43425079999999999</v>
      </c>
    </row>
    <row r="69" spans="1:9" x14ac:dyDescent="0.25">
      <c r="A69" s="1" t="s">
        <v>97</v>
      </c>
      <c r="B69" s="1" t="s">
        <v>13</v>
      </c>
      <c r="C69" s="1" t="s">
        <v>95</v>
      </c>
      <c r="D69" s="1" t="s">
        <v>96</v>
      </c>
      <c r="E69" s="1" t="s">
        <v>15</v>
      </c>
      <c r="F69" s="1" t="str" cm="1">
        <f t="array" ref="F69">_xll.BDP($A69,F$1)</f>
        <v>RENESAS ELECTRON</v>
      </c>
      <c r="G69" s="6" cm="1">
        <f t="array" ref="G69">_xll.BDP($A69,G$1)/100</f>
        <v>-1.1111110000000001E-3</v>
      </c>
      <c r="H69" s="6" cm="1">
        <f t="array" ref="H69">_xll.BDP($A69,H$1)/100</f>
        <v>0.40249609999999997</v>
      </c>
      <c r="I69" s="6" cm="1">
        <f t="array" ref="I69">_xll.BDP($A69,I$1)/100</f>
        <v>1.1004670000000001</v>
      </c>
    </row>
    <row r="70" spans="1:9" x14ac:dyDescent="0.25">
      <c r="A70" s="1" t="s">
        <v>98</v>
      </c>
      <c r="B70" s="1" t="s">
        <v>13</v>
      </c>
      <c r="C70" s="1" t="s">
        <v>95</v>
      </c>
      <c r="D70" s="1" t="s">
        <v>96</v>
      </c>
      <c r="E70" s="1" t="s">
        <v>15</v>
      </c>
      <c r="F70" s="1" t="str" cm="1">
        <f t="array" ref="F70">_xll.BDP($A70,F$1)</f>
        <v>ROHM CO LTD</v>
      </c>
      <c r="G70" s="6" cm="1">
        <f t="array" ref="G70">_xll.BDP($A70,G$1)/100</f>
        <v>-3.774276E-2</v>
      </c>
      <c r="H70" s="6" cm="1">
        <f t="array" ref="H70">_xll.BDP($A70,H$1)/100</f>
        <v>0.5061658</v>
      </c>
      <c r="I70" s="6" cm="1">
        <f t="array" ref="I70">_xll.BDP($A70,I$1)/100</f>
        <v>1.365766</v>
      </c>
    </row>
    <row r="71" spans="1:9" x14ac:dyDescent="0.25">
      <c r="A71" s="1" t="s">
        <v>99</v>
      </c>
      <c r="B71" s="1" t="s">
        <v>13</v>
      </c>
      <c r="C71" s="1" t="s">
        <v>95</v>
      </c>
      <c r="D71" s="1" t="s">
        <v>96</v>
      </c>
      <c r="E71" s="1" t="s">
        <v>15</v>
      </c>
      <c r="F71" s="1" t="str" cm="1">
        <f t="array" ref="F71">_xll.BDP($A71,F$1)</f>
        <v>ABB LTD-REG</v>
      </c>
      <c r="G71" s="6" cm="1">
        <f t="array" ref="G71">_xll.BDP($A71,G$1)/100</f>
        <v>0</v>
      </c>
      <c r="H71" s="6" cm="1">
        <f t="array" ref="H71">_xll.BDP($A71,H$1)/100</f>
        <v>6.6037700000000005E-2</v>
      </c>
      <c r="I71" s="6" cm="1">
        <f t="array" ref="I71">_xll.BDP($A71,I$1)/100</f>
        <v>0.41202289999999997</v>
      </c>
    </row>
    <row r="72" spans="1:9" x14ac:dyDescent="0.25">
      <c r="A72" s="1" t="s">
        <v>100</v>
      </c>
      <c r="B72" s="1" t="s">
        <v>13</v>
      </c>
      <c r="C72" s="1" t="s">
        <v>95</v>
      </c>
      <c r="D72" s="1" t="s">
        <v>96</v>
      </c>
      <c r="E72" s="1" t="s">
        <v>15</v>
      </c>
      <c r="F72" s="1" t="str" cm="1">
        <f t="array" ref="F72">_xll.BDP($A72,F$1)</f>
        <v>ANALOG DEVICES</v>
      </c>
      <c r="G72" s="6" cm="1">
        <f t="array" ref="G72">_xll.BDP($A72,G$1)/100</f>
        <v>2.8812210000000001E-2</v>
      </c>
      <c r="H72" s="6" cm="1">
        <f t="array" ref="H72">_xll.BDP($A72,H$1)/100</f>
        <v>2.8812190000000001E-2</v>
      </c>
      <c r="I72" s="6" cm="1">
        <f t="array" ref="I72">_xll.BDP($A72,I$1)/100</f>
        <v>0.52599550000000006</v>
      </c>
    </row>
    <row r="73" spans="1:9" x14ac:dyDescent="0.25">
      <c r="A73" s="1" t="s">
        <v>101</v>
      </c>
      <c r="B73" s="1" t="s">
        <v>13</v>
      </c>
      <c r="C73" s="1" t="s">
        <v>95</v>
      </c>
      <c r="D73" s="1" t="s">
        <v>96</v>
      </c>
      <c r="E73" s="1" t="s">
        <v>15</v>
      </c>
      <c r="F73" s="1" t="str" cm="1">
        <f t="array" ref="F73">_xll.BDP($A73,F$1)</f>
        <v>EATON CORP PLC</v>
      </c>
      <c r="G73" s="6" cm="1">
        <f t="array" ref="G73">_xll.BDP($A73,G$1)/100</f>
        <v>-7.4848159999999997E-2</v>
      </c>
      <c r="H73" s="6" cm="1">
        <f t="array" ref="H73">_xll.BDP($A73,H$1)/100</f>
        <v>-7.484818E-2</v>
      </c>
      <c r="I73" s="6" cm="1">
        <f t="array" ref="I73">_xll.BDP($A73,I$1)/100</f>
        <v>0.2577313</v>
      </c>
    </row>
    <row r="74" spans="1:9" x14ac:dyDescent="0.25">
      <c r="A74" s="1" t="s">
        <v>102</v>
      </c>
      <c r="B74" s="1" t="s">
        <v>13</v>
      </c>
      <c r="C74" s="1" t="s">
        <v>95</v>
      </c>
      <c r="D74" s="1" t="s">
        <v>96</v>
      </c>
      <c r="E74" s="1" t="s">
        <v>15</v>
      </c>
      <c r="F74" s="1" t="str" cm="1">
        <f t="array" ref="F74">_xll.BDP($A74,F$1)</f>
        <v>FLEX LTD</v>
      </c>
      <c r="G74" s="6" cm="1">
        <f t="array" ref="G74">_xll.BDP($A74,G$1)/100</f>
        <v>0.64696889999999996</v>
      </c>
      <c r="H74" s="6" cm="1">
        <f t="array" ref="H74">_xll.BDP($A74,H$1)/100</f>
        <v>0.6469687999999999</v>
      </c>
      <c r="I74" s="6" cm="1">
        <f t="array" ref="I74">_xll.BDP($A74,I$1)/100</f>
        <v>1.4955309999999999</v>
      </c>
    </row>
    <row r="75" spans="1:9" x14ac:dyDescent="0.25">
      <c r="A75" s="1" t="s">
        <v>103</v>
      </c>
      <c r="B75" s="1" t="s">
        <v>13</v>
      </c>
      <c r="C75" s="1" t="s">
        <v>95</v>
      </c>
      <c r="D75" s="1" t="s">
        <v>96</v>
      </c>
      <c r="E75" s="1" t="s">
        <v>15</v>
      </c>
      <c r="F75" s="1" t="str" cm="1">
        <f t="array" ref="F75">_xll.BDP($A75,F$1)</f>
        <v>INFINEON TECH</v>
      </c>
      <c r="G75" s="6" cm="1">
        <f t="array" ref="G75">_xll.BDP($A75,G$1)/100</f>
        <v>0</v>
      </c>
      <c r="H75" s="6" cm="1">
        <f t="array" ref="H75">_xll.BDP($A75,H$1)/100</f>
        <v>0.42532750000000002</v>
      </c>
      <c r="I75" s="6" cm="1">
        <f t="array" ref="I75">_xll.BDP($A75,I$1)/100</f>
        <v>1.1627350000000001</v>
      </c>
    </row>
    <row r="76" spans="1:9" x14ac:dyDescent="0.25">
      <c r="A76" s="1" t="s">
        <v>104</v>
      </c>
      <c r="B76" s="1" t="s">
        <v>13</v>
      </c>
      <c r="C76" s="1" t="s">
        <v>95</v>
      </c>
      <c r="D76" s="1" t="s">
        <v>96</v>
      </c>
      <c r="E76" s="1" t="s">
        <v>15</v>
      </c>
      <c r="F76" s="1" t="str" cm="1">
        <f t="array" ref="F76">_xll.BDP($A76,F$1)</f>
        <v>MONOLITHIC POWER</v>
      </c>
      <c r="G76" s="6" cm="1">
        <f t="array" ref="G76">_xll.BDP($A76,G$1)/100</f>
        <v>-2.9856110000000002E-2</v>
      </c>
      <c r="H76" s="6" cm="1">
        <f t="array" ref="H76">_xll.BDP($A76,H$1)/100</f>
        <v>-2.9856129999999998E-2</v>
      </c>
      <c r="I76" s="6" cm="1">
        <f t="array" ref="I76">_xll.BDP($A76,I$1)/100</f>
        <v>0.72802199999999995</v>
      </c>
    </row>
    <row r="77" spans="1:9" x14ac:dyDescent="0.25">
      <c r="A77" s="1" t="s">
        <v>105</v>
      </c>
      <c r="B77" s="1" t="s">
        <v>13</v>
      </c>
      <c r="C77" s="1" t="s">
        <v>95</v>
      </c>
      <c r="D77" s="1" t="s">
        <v>96</v>
      </c>
      <c r="E77" s="1" t="s">
        <v>15</v>
      </c>
      <c r="F77" s="1" t="str" cm="1">
        <f t="array" ref="F77">_xll.BDP($A77,F$1)</f>
        <v>NAVITAS SEMICOND</v>
      </c>
      <c r="G77" s="6" cm="1">
        <f t="array" ref="G77">_xll.BDP($A77,G$1)/100</f>
        <v>0.61212120000000003</v>
      </c>
      <c r="H77" s="6" cm="1">
        <f t="array" ref="H77">_xll.BDP($A77,H$1)/100</f>
        <v>0.61212120000000003</v>
      </c>
      <c r="I77" s="6" cm="1">
        <f t="array" ref="I77">_xll.BDP($A77,I$1)/100</f>
        <v>2.7254899999999997</v>
      </c>
    </row>
    <row r="78" spans="1:9" x14ac:dyDescent="0.25">
      <c r="A78" s="1" t="s">
        <v>106</v>
      </c>
      <c r="B78" s="1" t="s">
        <v>13</v>
      </c>
      <c r="C78" s="1" t="s">
        <v>95</v>
      </c>
      <c r="D78" s="1" t="s">
        <v>96</v>
      </c>
      <c r="E78" s="1" t="s">
        <v>15</v>
      </c>
      <c r="F78" s="1" t="str" cm="1">
        <f t="array" ref="F78">_xll.BDP($A78,F$1)</f>
        <v>ON SEMICONDUCTOR</v>
      </c>
      <c r="G78" s="6" cm="1">
        <f t="array" ref="G78">_xll.BDP($A78,G$1)/100</f>
        <v>0.1965083</v>
      </c>
      <c r="H78" s="6" cm="1">
        <f t="array" ref="H78">_xll.BDP($A78,H$1)/100</f>
        <v>0.1965083</v>
      </c>
      <c r="I78" s="6" cm="1">
        <f t="array" ref="I78">_xll.BDP($A78,I$1)/100</f>
        <v>1.2275160000000001</v>
      </c>
    </row>
    <row r="79" spans="1:9" x14ac:dyDescent="0.25">
      <c r="A79" s="1" t="s">
        <v>107</v>
      </c>
      <c r="B79" s="1" t="s">
        <v>13</v>
      </c>
      <c r="C79" s="1" t="s">
        <v>95</v>
      </c>
      <c r="D79" s="1" t="s">
        <v>96</v>
      </c>
      <c r="E79" s="1" t="s">
        <v>15</v>
      </c>
      <c r="F79" s="1" t="str" cm="1">
        <f t="array" ref="F79">_xll.BDP($A79,F$1)</f>
        <v>POWER INTEGRATIO</v>
      </c>
      <c r="G79" s="6" cm="1">
        <f t="array" ref="G79">_xll.BDP($A79,G$1)/100</f>
        <v>0.15527440000000001</v>
      </c>
      <c r="H79" s="6" cm="1">
        <f t="array" ref="H79">_xll.BDP($A79,H$1)/100</f>
        <v>0.15527440000000001</v>
      </c>
      <c r="I79" s="6" cm="1">
        <f t="array" ref="I79">_xll.BDP($A79,I$1)/100</f>
        <v>1.363534</v>
      </c>
    </row>
    <row r="80" spans="1:9" x14ac:dyDescent="0.25">
      <c r="A80" s="1" t="s">
        <v>108</v>
      </c>
      <c r="B80" s="1" t="s">
        <v>13</v>
      </c>
      <c r="C80" s="1" t="s">
        <v>95</v>
      </c>
      <c r="D80" s="1" t="s">
        <v>96</v>
      </c>
      <c r="E80" s="1" t="s">
        <v>15</v>
      </c>
      <c r="F80" s="1" t="str" cm="1">
        <f t="array" ref="F80">_xll.BDP($A80,F$1)</f>
        <v>STMICROELECTRONI</v>
      </c>
      <c r="G80" s="6" cm="1">
        <f t="array" ref="G80">_xll.BDP($A80,G$1)/100</f>
        <v>0</v>
      </c>
      <c r="H80" s="6" cm="1">
        <f t="array" ref="H80">_xll.BDP($A80,H$1)/100</f>
        <v>0.28110399999999997</v>
      </c>
      <c r="I80" s="6" cm="1">
        <f t="array" ref="I80">_xll.BDP($A80,I$1)/100</f>
        <v>1.627005</v>
      </c>
    </row>
    <row r="81" spans="1:9" x14ac:dyDescent="0.25">
      <c r="A81" s="1" t="s">
        <v>109</v>
      </c>
      <c r="B81" s="1" t="s">
        <v>13</v>
      </c>
      <c r="C81" s="1" t="s">
        <v>95</v>
      </c>
      <c r="D81" s="1" t="s">
        <v>96</v>
      </c>
      <c r="E81" s="1" t="s">
        <v>15</v>
      </c>
      <c r="F81" s="1" t="str" cm="1">
        <f t="array" ref="F81">_xll.BDP($A81,F$1)</f>
        <v>SCHNEIDER ELECTR</v>
      </c>
      <c r="G81" s="6" cm="1">
        <f t="array" ref="G81">_xll.BDP($A81,G$1)/100</f>
        <v>0</v>
      </c>
      <c r="H81" s="6" cm="1">
        <f t="array" ref="H81">_xll.BDP($A81,H$1)/100</f>
        <v>5.026038E-3</v>
      </c>
      <c r="I81" s="6" cm="1">
        <f t="array" ref="I81">_xll.BDP($A81,I$1)/100</f>
        <v>0.1492125</v>
      </c>
    </row>
    <row r="82" spans="1:9" x14ac:dyDescent="0.25">
      <c r="A82" s="1" t="s">
        <v>110</v>
      </c>
      <c r="B82" s="1" t="s">
        <v>13</v>
      </c>
      <c r="C82" s="1" t="s">
        <v>95</v>
      </c>
      <c r="D82" s="1" t="s">
        <v>96</v>
      </c>
      <c r="E82" s="1" t="s">
        <v>15</v>
      </c>
      <c r="F82" s="1" t="str" cm="1">
        <f t="array" ref="F82">_xll.BDP($A82,F$1)</f>
        <v>TEXAS INSTRUMENT</v>
      </c>
      <c r="G82" s="6" cm="1">
        <f t="array" ref="G82">_xll.BDP($A82,G$1)/100</f>
        <v>8.7519570000000005E-2</v>
      </c>
      <c r="H82" s="6" cm="1">
        <f t="array" ref="H82">_xll.BDP($A82,H$1)/100</f>
        <v>8.7519620000000006E-2</v>
      </c>
      <c r="I82" s="6" cm="1">
        <f t="array" ref="I82">_xll.BDP($A82,I$1)/100</f>
        <v>0.76194590000000006</v>
      </c>
    </row>
    <row r="83" spans="1:9" x14ac:dyDescent="0.25">
      <c r="A83" s="1" t="s">
        <v>111</v>
      </c>
      <c r="B83" s="1" t="s">
        <v>13</v>
      </c>
      <c r="C83" s="1" t="s">
        <v>95</v>
      </c>
      <c r="D83" s="1" t="s">
        <v>96</v>
      </c>
      <c r="E83" s="1" t="s">
        <v>15</v>
      </c>
      <c r="F83" s="1" t="str" cm="1">
        <f t="array" ref="F83">_xll.BDP($A83,F$1)</f>
        <v>VERTIV HOLDING-A</v>
      </c>
      <c r="G83" s="6" cm="1">
        <f t="array" ref="G83">_xll.BDP($A83,G$1)/100</f>
        <v>-3.8905290000000002E-2</v>
      </c>
      <c r="H83" s="6" cm="1">
        <f t="array" ref="H83">_xll.BDP($A83,H$1)/100</f>
        <v>-3.8905269999999999E-2</v>
      </c>
      <c r="I83" s="6" cm="1">
        <f t="array" ref="I83">_xll.BDP($A83,I$1)/100</f>
        <v>0.94870689999999991</v>
      </c>
    </row>
    <row r="84" spans="1:9" x14ac:dyDescent="0.25">
      <c r="A84" s="1" t="s">
        <v>155</v>
      </c>
      <c r="B84" s="1" t="s">
        <v>13</v>
      </c>
      <c r="C84" s="1" t="s">
        <v>95</v>
      </c>
      <c r="D84" s="1" t="s">
        <v>96</v>
      </c>
      <c r="E84" s="1" t="s">
        <v>15</v>
      </c>
      <c r="F84" s="1" t="str" cm="1">
        <f t="array" ref="F84">_xll.BDP($A84,F$1)</f>
        <v>DELTA ELEC</v>
      </c>
      <c r="G84" s="6" cm="1">
        <f t="array" ref="G84">_xll.BDP($A84,G$1)/100</f>
        <v>-1.022495E-2</v>
      </c>
      <c r="H84" s="6" cm="1">
        <f t="array" ref="H84">_xll.BDP($A84,H$1)/100</f>
        <v>0.1177829</v>
      </c>
      <c r="I84" s="6" cm="1">
        <f t="array" ref="I84">_xll.BDP($A84,I$1)/100</f>
        <v>1.51298</v>
      </c>
    </row>
    <row r="85" spans="1:9" x14ac:dyDescent="0.25">
      <c r="A85" s="1" t="s">
        <v>112</v>
      </c>
      <c r="B85" s="1" t="s">
        <v>13</v>
      </c>
      <c r="C85" s="1" t="s">
        <v>95</v>
      </c>
      <c r="D85" s="1" t="s">
        <v>96</v>
      </c>
      <c r="E85" s="1" t="s">
        <v>15</v>
      </c>
      <c r="F85" s="1" t="str" cm="1">
        <f t="array" ref="F85">_xll.BDP($A85,F$1)</f>
        <v>WOLFSPEED INC</v>
      </c>
      <c r="G85" s="6" cm="1">
        <f t="array" ref="G85">_xll.BDP($A85,G$1)/100</f>
        <v>1.00745</v>
      </c>
      <c r="H85" s="6" cm="1">
        <f t="array" ref="H85">_xll.BDP($A85,H$1)/100</f>
        <v>1.00745</v>
      </c>
      <c r="I85" s="6" cm="1">
        <f t="array" ref="I85">_xll.BDP($A85,I$1)/100</f>
        <v>2.4049399999999999</v>
      </c>
    </row>
    <row r="86" spans="1:9" x14ac:dyDescent="0.25">
      <c r="A86" s="1" t="s">
        <v>113</v>
      </c>
      <c r="B86" s="1" t="s">
        <v>13</v>
      </c>
      <c r="C86" s="1" t="s">
        <v>114</v>
      </c>
      <c r="E86" s="1" t="s">
        <v>15</v>
      </c>
      <c r="F86" s="1" t="str" cm="1">
        <f t="array" ref="F86">_xll.BDP($A86,F$1)</f>
        <v>AUTOMATIC DATA</v>
      </c>
      <c r="G86" s="6" cm="1">
        <f t="array" ref="G86">_xll.BDP($A86,G$1)/100</f>
        <v>4.6711330000000002E-2</v>
      </c>
      <c r="H86" s="6" cm="1">
        <f t="array" ref="H86">_xll.BDP($A86,H$1)/100</f>
        <v>4.6711320000000001E-2</v>
      </c>
      <c r="I86" s="6" cm="1">
        <f t="array" ref="I86">_xll.BDP($A86,I$1)/100</f>
        <v>-0.13758119999999999</v>
      </c>
    </row>
    <row r="87" spans="1:9" x14ac:dyDescent="0.25">
      <c r="A87" s="1" t="s">
        <v>115</v>
      </c>
      <c r="B87" s="1" t="s">
        <v>13</v>
      </c>
      <c r="C87" s="1" t="s">
        <v>114</v>
      </c>
      <c r="E87" s="1" t="s">
        <v>15</v>
      </c>
      <c r="F87" s="1" t="str" cm="1">
        <f t="array" ref="F87">_xll.BDP($A87,F$1)</f>
        <v>AUTODESK INC</v>
      </c>
      <c r="G87" s="6" cm="1">
        <f t="array" ref="G87">_xll.BDP($A87,G$1)/100</f>
        <v>-2.4008440000000002E-2</v>
      </c>
      <c r="H87" s="6" cm="1">
        <f t="array" ref="H87">_xll.BDP($A87,H$1)/100</f>
        <v>-2.4008440000000002E-2</v>
      </c>
      <c r="I87" s="6" cm="1">
        <f t="array" ref="I87">_xll.BDP($A87,I$1)/100</f>
        <v>-0.21857369999999998</v>
      </c>
    </row>
    <row r="88" spans="1:9" x14ac:dyDescent="0.25">
      <c r="A88" s="1" t="s">
        <v>116</v>
      </c>
      <c r="B88" s="1" t="s">
        <v>13</v>
      </c>
      <c r="C88" s="1" t="s">
        <v>114</v>
      </c>
      <c r="E88" s="1" t="s">
        <v>15</v>
      </c>
      <c r="F88" s="1" t="str" cm="1">
        <f t="array" ref="F88">_xll.BDP($A88,F$1)</f>
        <v>ANSYS INC</v>
      </c>
      <c r="G88" s="6" t="str">
        <f>[1]!BError(_xll.BDP($A88,G$1)/100)</f>
        <v>N.A.</v>
      </c>
      <c r="H88" s="6" t="str">
        <f>[1]!BError(_xll.BDP($A88,H$1)/100)</f>
        <v>N.A.</v>
      </c>
      <c r="I88" s="6" t="str">
        <f>[1]!BError(_xll.BDP($A88,I$1)/100)</f>
        <v>N.A.</v>
      </c>
    </row>
    <row r="89" spans="1:9" x14ac:dyDescent="0.25">
      <c r="A89" s="1" t="s">
        <v>20</v>
      </c>
      <c r="B89" s="1" t="s">
        <v>13</v>
      </c>
      <c r="C89" s="1" t="s">
        <v>114</v>
      </c>
      <c r="E89" s="1" t="s">
        <v>15</v>
      </c>
      <c r="F89" s="1" t="str" cm="1">
        <f t="array" ref="F89">_xll.BDP($A89,F$1)</f>
        <v>BROADRIDGE FINL</v>
      </c>
      <c r="G89" s="6" cm="1">
        <f t="array" ref="G89">_xll.BDP($A89,G$1)/100</f>
        <v>-1.6885310000000001E-3</v>
      </c>
      <c r="H89" s="6" cm="1">
        <f t="array" ref="H89">_xll.BDP($A89,H$1)/100</f>
        <v>-1.6885030000000001E-3</v>
      </c>
      <c r="I89" s="6" cm="1">
        <f t="array" ref="I89">_xll.BDP($A89,I$1)/100</f>
        <v>-0.31119769999999997</v>
      </c>
    </row>
    <row r="90" spans="1:9" x14ac:dyDescent="0.25">
      <c r="A90" s="1" t="s">
        <v>117</v>
      </c>
      <c r="B90" s="1" t="s">
        <v>13</v>
      </c>
      <c r="C90" s="1" t="s">
        <v>114</v>
      </c>
      <c r="E90" s="1" t="s">
        <v>15</v>
      </c>
      <c r="F90" s="1" t="str" cm="1">
        <f t="array" ref="F90">_xll.BDP($A90,F$1)</f>
        <v>BENTLEY SYSTEM-B</v>
      </c>
      <c r="G90" s="6" cm="1">
        <f t="array" ref="G90">_xll.BDP($A90,G$1)/100</f>
        <v>6.1312079999999993E-4</v>
      </c>
      <c r="H90" s="6" cm="1">
        <f t="array" ref="H90">_xll.BDP($A90,H$1)/100</f>
        <v>6.1315350000000002E-4</v>
      </c>
      <c r="I90" s="6" cm="1">
        <f t="array" ref="I90">_xll.BDP($A90,I$1)/100</f>
        <v>-0.14476620000000001</v>
      </c>
    </row>
    <row r="91" spans="1:9" x14ac:dyDescent="0.25">
      <c r="A91" s="1" t="s">
        <v>118</v>
      </c>
      <c r="B91" s="1" t="s">
        <v>13</v>
      </c>
      <c r="C91" s="1" t="s">
        <v>114</v>
      </c>
      <c r="E91" s="1" t="s">
        <v>15</v>
      </c>
      <c r="F91" s="1" t="str" cm="1">
        <f t="array" ref="F91">_xll.BDP($A91,F$1)</f>
        <v>CADENCE DESIGN</v>
      </c>
      <c r="G91" s="6" cm="1">
        <f t="array" ref="G91">_xll.BDP($A91,G$1)/100</f>
        <v>0.13756489999999999</v>
      </c>
      <c r="H91" s="6" cm="1">
        <f t="array" ref="H91">_xll.BDP($A91,H$1)/100</f>
        <v>0.13756489999999999</v>
      </c>
      <c r="I91" s="6" cm="1">
        <f t="array" ref="I91">_xll.BDP($A91,I$1)/100</f>
        <v>0.19946900000000001</v>
      </c>
    </row>
    <row r="92" spans="1:9" x14ac:dyDescent="0.25">
      <c r="A92" s="1" t="s">
        <v>119</v>
      </c>
      <c r="B92" s="1" t="s">
        <v>13</v>
      </c>
      <c r="C92" s="1" t="s">
        <v>114</v>
      </c>
      <c r="E92" s="1" t="s">
        <v>15</v>
      </c>
      <c r="F92" s="1" t="str" cm="1">
        <f t="array" ref="F92">_xll.BDP($A92,F$1)</f>
        <v>CONFLUENT INC-A</v>
      </c>
      <c r="G92" s="6" t="str">
        <f>[1]!BError(_xll.BDP($A92,G$1)/100)</f>
        <v>N.A.</v>
      </c>
      <c r="H92" s="6" t="str">
        <f>[1]!BError(_xll.BDP($A92,H$1)/100)</f>
        <v>N.A.</v>
      </c>
      <c r="I92" s="6" t="str">
        <f>[1]!BError(_xll.BDP($A92,I$1)/100)</f>
        <v>N.A.</v>
      </c>
    </row>
    <row r="93" spans="1:9" x14ac:dyDescent="0.25">
      <c r="A93" s="1" t="s">
        <v>91</v>
      </c>
      <c r="B93" s="1" t="s">
        <v>13</v>
      </c>
      <c r="C93" s="1" t="s">
        <v>114</v>
      </c>
      <c r="E93" s="1" t="s">
        <v>15</v>
      </c>
      <c r="F93" s="1" t="str" cm="1">
        <f t="array" ref="F93">_xll.BDP($A93,F$1)</f>
        <v>SALESFORCE INC</v>
      </c>
      <c r="G93" s="6" cm="1">
        <f t="array" ref="G93">_xll.BDP($A93,G$1)/100</f>
        <v>8.2535549999999999E-2</v>
      </c>
      <c r="H93" s="6" cm="1">
        <f t="array" ref="H93">_xll.BDP($A93,H$1)/100</f>
        <v>8.2535549999999999E-2</v>
      </c>
      <c r="I93" s="6" cm="1">
        <f t="array" ref="I93">_xll.BDP($A93,I$1)/100</f>
        <v>-0.27862290000000001</v>
      </c>
    </row>
    <row r="94" spans="1:9" x14ac:dyDescent="0.25">
      <c r="A94" s="1" t="s">
        <v>54</v>
      </c>
      <c r="B94" s="1" t="s">
        <v>13</v>
      </c>
      <c r="C94" s="1" t="s">
        <v>114</v>
      </c>
      <c r="E94" s="1" t="s">
        <v>15</v>
      </c>
      <c r="F94" s="1" t="str" cm="1">
        <f t="array" ref="F94">_xll.BDP($A94,F$1)</f>
        <v>CROWDSTRIKE HO-A</v>
      </c>
      <c r="G94" s="6" cm="1">
        <f t="array" ref="G94">_xll.BDP($A94,G$1)/100</f>
        <v>0.63993270000000002</v>
      </c>
      <c r="H94" s="6" cm="1">
        <f t="array" ref="H94">_xll.BDP($A94,H$1)/100</f>
        <v>0.63993270000000002</v>
      </c>
      <c r="I94" s="6" cm="1">
        <f t="array" ref="I94">_xll.BDP($A94,I$1)/100</f>
        <v>0.55943339999999997</v>
      </c>
    </row>
    <row r="95" spans="1:9" x14ac:dyDescent="0.25">
      <c r="A95" s="1" t="s">
        <v>120</v>
      </c>
      <c r="B95" s="1" t="s">
        <v>13</v>
      </c>
      <c r="C95" s="1" t="s">
        <v>114</v>
      </c>
      <c r="E95" s="1" t="s">
        <v>15</v>
      </c>
      <c r="F95" s="1" t="str" cm="1">
        <f t="array" ref="F95">_xll.BDP($A95,F$1)</f>
        <v>COSTAR GROUP INC</v>
      </c>
      <c r="G95" s="6" cm="1">
        <f t="array" ref="G95">_xll.BDP($A95,G$1)/100</f>
        <v>-6.9633050000000002E-2</v>
      </c>
      <c r="H95" s="6" cm="1">
        <f t="array" ref="H95">_xll.BDP($A95,H$1)/100</f>
        <v>-6.9633070000000005E-2</v>
      </c>
      <c r="I95" s="6" cm="1">
        <f t="array" ref="I95">_xll.BDP($A95,I$1)/100</f>
        <v>-0.52111839999999998</v>
      </c>
    </row>
    <row r="96" spans="1:9" x14ac:dyDescent="0.25">
      <c r="A96" s="1" t="s">
        <v>121</v>
      </c>
      <c r="B96" s="1" t="s">
        <v>13</v>
      </c>
      <c r="C96" s="1" t="s">
        <v>114</v>
      </c>
      <c r="E96" s="1" t="s">
        <v>15</v>
      </c>
      <c r="F96" s="1" t="str" cm="1">
        <f t="array" ref="F96">_xll.BDP($A96,F$1)</f>
        <v>CONSTELLATION SO</v>
      </c>
      <c r="G96" s="6" cm="1">
        <f t="array" ref="G96">_xll.BDP($A96,G$1)/100</f>
        <v>0.14104910000000001</v>
      </c>
      <c r="H96" s="6" cm="1">
        <f t="array" ref="H96">_xll.BDP($A96,H$1)/100</f>
        <v>0.14104919999999999</v>
      </c>
      <c r="I96" s="6" cm="1">
        <f t="array" ref="I96">_xll.BDP($A96,I$1)/100</f>
        <v>-0.14718130000000001</v>
      </c>
    </row>
    <row r="97" spans="1:9" x14ac:dyDescent="0.25">
      <c r="A97" s="1" t="s">
        <v>122</v>
      </c>
      <c r="B97" s="1" t="s">
        <v>13</v>
      </c>
      <c r="C97" s="1" t="s">
        <v>114</v>
      </c>
      <c r="E97" s="1" t="s">
        <v>15</v>
      </c>
      <c r="F97" s="1" t="str" cm="1">
        <f t="array" ref="F97">_xll.BDP($A97,F$1)</f>
        <v>DATADOG INC-A</v>
      </c>
      <c r="G97" s="6" cm="1">
        <f t="array" ref="G97">_xll.BDP($A97,G$1)/100</f>
        <v>0.87117029999999995</v>
      </c>
      <c r="H97" s="6" cm="1">
        <f t="array" ref="H97">_xll.BDP($A97,H$1)/100</f>
        <v>0.87117029999999995</v>
      </c>
      <c r="I97" s="6" cm="1">
        <f t="array" ref="I97">_xll.BDP($A97,I$1)/100</f>
        <v>0.81888369999999999</v>
      </c>
    </row>
    <row r="98" spans="1:9" x14ac:dyDescent="0.25">
      <c r="A98" s="1" t="s">
        <v>123</v>
      </c>
      <c r="B98" s="1" t="s">
        <v>13</v>
      </c>
      <c r="C98" s="1" t="s">
        <v>114</v>
      </c>
      <c r="E98" s="1" t="s">
        <v>15</v>
      </c>
      <c r="F98" s="1" t="str" cm="1">
        <f t="array" ref="F98">_xll.BDP($A98,F$1)</f>
        <v>DEERE &amp; CO</v>
      </c>
      <c r="G98" s="6" cm="1">
        <f t="array" ref="G98">_xll.BDP($A98,G$1)/100</f>
        <v>-8.0848320000000001E-2</v>
      </c>
      <c r="H98" s="6" cm="1">
        <f t="array" ref="H98">_xll.BDP($A98,H$1)/100</f>
        <v>-8.0848309999999993E-2</v>
      </c>
      <c r="I98" s="6" cm="1">
        <f t="array" ref="I98">_xll.BDP($A98,I$1)/100</f>
        <v>0.164551</v>
      </c>
    </row>
    <row r="99" spans="1:9" x14ac:dyDescent="0.25">
      <c r="A99" s="1" t="s">
        <v>124</v>
      </c>
      <c r="B99" s="1" t="s">
        <v>13</v>
      </c>
      <c r="C99" s="1" t="s">
        <v>114</v>
      </c>
      <c r="E99" s="1" t="s">
        <v>15</v>
      </c>
      <c r="F99" s="1" t="str" cm="1">
        <f t="array" ref="F99">_xll.BDP($A99,F$1)</f>
        <v>FACTSET RESEARCH</v>
      </c>
      <c r="G99" s="6" cm="1">
        <f t="array" ref="G99">_xll.BDP($A99,G$1)/100</f>
        <v>7.8609720000000008E-2</v>
      </c>
      <c r="H99" s="6" cm="1">
        <f t="array" ref="H99">_xll.BDP($A99,H$1)/100</f>
        <v>7.8609709999999999E-2</v>
      </c>
      <c r="I99" s="6" cm="1">
        <f t="array" ref="I99">_xll.BDP($A99,I$1)/100</f>
        <v>-0.15410589999999999</v>
      </c>
    </row>
    <row r="100" spans="1:9" x14ac:dyDescent="0.25">
      <c r="A100" s="1" t="s">
        <v>125</v>
      </c>
      <c r="B100" s="1" t="s">
        <v>13</v>
      </c>
      <c r="C100" s="1" t="s">
        <v>114</v>
      </c>
      <c r="E100" s="1" t="s">
        <v>15</v>
      </c>
      <c r="F100" s="1" t="str" cm="1">
        <f t="array" ref="F100">_xll.BDP($A100,F$1)</f>
        <v>FISERV INC</v>
      </c>
      <c r="G100" s="6" cm="1">
        <f t="array" ref="G100">_xll.BDP($A100,G$1)/100</f>
        <v>-9.7206700000000007E-2</v>
      </c>
      <c r="H100" s="6" cm="1">
        <f t="array" ref="H100">_xll.BDP($A100,H$1)/100</f>
        <v>-9.7206729999999991E-2</v>
      </c>
      <c r="I100" s="6" cm="1">
        <f t="array" ref="I100">_xll.BDP($A100,I$1)/100</f>
        <v>-0.1579574</v>
      </c>
    </row>
    <row r="101" spans="1:9" x14ac:dyDescent="0.25">
      <c r="A101" s="1" t="s">
        <v>56</v>
      </c>
      <c r="B101" s="1" t="s">
        <v>13</v>
      </c>
      <c r="C101" s="1" t="s">
        <v>114</v>
      </c>
      <c r="E101" s="1" t="s">
        <v>15</v>
      </c>
      <c r="F101" s="1" t="str" cm="1">
        <f t="array" ref="F101">_xll.BDP($A101,F$1)</f>
        <v>FORTINET INC</v>
      </c>
      <c r="G101" s="6" cm="1">
        <f t="array" ref="G101">_xll.BDP($A101,G$1)/100</f>
        <v>0.63646069999999999</v>
      </c>
      <c r="H101" s="6" cm="1">
        <f t="array" ref="H101">_xll.BDP($A101,H$1)/100</f>
        <v>0.63646069999999999</v>
      </c>
      <c r="I101" s="6" cm="1">
        <f t="array" ref="I101">_xll.BDP($A101,I$1)/100</f>
        <v>0.7374385</v>
      </c>
    </row>
    <row r="102" spans="1:9" x14ac:dyDescent="0.25">
      <c r="A102" s="1" t="s">
        <v>126</v>
      </c>
      <c r="B102" s="1" t="s">
        <v>13</v>
      </c>
      <c r="C102" s="1" t="s">
        <v>114</v>
      </c>
      <c r="E102" s="1" t="s">
        <v>15</v>
      </c>
      <c r="F102" s="1" t="str" cm="1">
        <f t="array" ref="F102">_xll.BDP($A102,F$1)</f>
        <v>INTUIT INC</v>
      </c>
      <c r="G102" s="6" cm="1">
        <f t="array" ref="G102">_xll.BDP($A102,G$1)/100</f>
        <v>-0.14664089999999999</v>
      </c>
      <c r="H102" s="6" cm="1">
        <f t="array" ref="H102">_xll.BDP($A102,H$1)/100</f>
        <v>-0.14664089999999999</v>
      </c>
      <c r="I102" s="6" cm="1">
        <f t="array" ref="I102">_xll.BDP($A102,I$1)/100</f>
        <v>-0.49951689999999999</v>
      </c>
    </row>
    <row r="103" spans="1:9" x14ac:dyDescent="0.25">
      <c r="A103" s="1" t="s">
        <v>127</v>
      </c>
      <c r="B103" s="1" t="s">
        <v>13</v>
      </c>
      <c r="C103" s="1" t="s">
        <v>114</v>
      </c>
      <c r="E103" s="1" t="s">
        <v>15</v>
      </c>
      <c r="F103" s="1" t="str" cm="1">
        <f t="array" ref="F103">_xll.BDP($A103,F$1)</f>
        <v>SAMSARA INC-CL A</v>
      </c>
      <c r="G103" s="6" cm="1">
        <f t="array" ref="G103">_xll.BDP($A103,G$1)/100</f>
        <v>0.21746690000000002</v>
      </c>
      <c r="H103" s="6" cm="1">
        <f t="array" ref="H103">_xll.BDP($A103,H$1)/100</f>
        <v>0.21746699999999999</v>
      </c>
      <c r="I103" s="6" cm="1">
        <f t="array" ref="I103">_xll.BDP($A103,I$1)/100</f>
        <v>-1.2976039999999999E-2</v>
      </c>
    </row>
    <row r="104" spans="1:9" x14ac:dyDescent="0.25">
      <c r="A104" s="1" t="s">
        <v>128</v>
      </c>
      <c r="B104" s="1" t="s">
        <v>13</v>
      </c>
      <c r="C104" s="1" t="s">
        <v>114</v>
      </c>
      <c r="E104" s="1" t="s">
        <v>15</v>
      </c>
      <c r="F104" s="1" t="str" cm="1">
        <f t="array" ref="F104">_xll.BDP($A104,F$1)</f>
        <v>IQVIA HOLDINGS I</v>
      </c>
      <c r="G104" s="6" cm="1">
        <f t="array" ref="G104">_xll.BDP($A104,G$1)/100</f>
        <v>0.15053359999999999</v>
      </c>
      <c r="H104" s="6" cm="1">
        <f t="array" ref="H104">_xll.BDP($A104,H$1)/100</f>
        <v>0.15053359999999999</v>
      </c>
      <c r="I104" s="6" cm="1">
        <f t="array" ref="I104">_xll.BDP($A104,I$1)/100</f>
        <v>-0.19165080000000001</v>
      </c>
    </row>
    <row r="105" spans="1:9" x14ac:dyDescent="0.25">
      <c r="A105" s="1" t="s">
        <v>129</v>
      </c>
      <c r="B105" s="1" t="s">
        <v>13</v>
      </c>
      <c r="C105" s="1" t="s">
        <v>114</v>
      </c>
      <c r="E105" s="1" t="s">
        <v>15</v>
      </c>
      <c r="F105" s="1" t="str" cm="1">
        <f t="array" ref="F105">_xll.BDP($A105,F$1)</f>
        <v>MASTERCARD INC-A</v>
      </c>
      <c r="G105" s="6" cm="1">
        <f t="array" ref="G105">_xll.BDP($A105,G$1)/100</f>
        <v>-1.7776190000000001E-2</v>
      </c>
      <c r="H105" s="6" cm="1">
        <f t="array" ref="H105">_xll.BDP($A105,H$1)/100</f>
        <v>-1.7776210000000001E-2</v>
      </c>
      <c r="I105" s="6" cm="1">
        <f t="array" ref="I105">_xll.BDP($A105,I$1)/100</f>
        <v>-0.1347043</v>
      </c>
    </row>
    <row r="106" spans="1:9" x14ac:dyDescent="0.25">
      <c r="A106" s="1" t="s">
        <v>130</v>
      </c>
      <c r="B106" s="1" t="s">
        <v>13</v>
      </c>
      <c r="C106" s="1" t="s">
        <v>114</v>
      </c>
      <c r="E106" s="1" t="s">
        <v>15</v>
      </c>
      <c r="F106" s="1" t="str" cm="1">
        <f t="array" ref="F106">_xll.BDP($A106,F$1)</f>
        <v>MONGODB INC</v>
      </c>
      <c r="G106" s="6" cm="1">
        <f t="array" ref="G106">_xll.BDP($A106,G$1)/100</f>
        <v>0.33775860000000002</v>
      </c>
      <c r="H106" s="6" cm="1">
        <f t="array" ref="H106">_xll.BDP($A106,H$1)/100</f>
        <v>0.33775860000000002</v>
      </c>
      <c r="I106" s="6" cm="1">
        <f t="array" ref="I106">_xll.BDP($A106,I$1)/100</f>
        <v>-0.2004813</v>
      </c>
    </row>
    <row r="107" spans="1:9" x14ac:dyDescent="0.25">
      <c r="A107" s="1" t="s">
        <v>131</v>
      </c>
      <c r="B107" s="1" t="s">
        <v>13</v>
      </c>
      <c r="C107" s="1" t="s">
        <v>114</v>
      </c>
      <c r="E107" s="1" t="s">
        <v>15</v>
      </c>
      <c r="F107" s="1" t="str" cm="1">
        <f t="array" ref="F107">_xll.BDP($A107,F$1)</f>
        <v>MSCI INC</v>
      </c>
      <c r="G107" s="6" cm="1">
        <f t="array" ref="G107">_xll.BDP($A107,G$1)/100</f>
        <v>6.7584249999999998E-2</v>
      </c>
      <c r="H107" s="6" cm="1">
        <f t="array" ref="H107">_xll.BDP($A107,H$1)/100</f>
        <v>6.75843E-2</v>
      </c>
      <c r="I107" s="6" cm="1">
        <f t="array" ref="I107">_xll.BDP($A107,I$1)/100</f>
        <v>0.1004828</v>
      </c>
    </row>
    <row r="108" spans="1:9" x14ac:dyDescent="0.25">
      <c r="A108" s="1" t="s">
        <v>58</v>
      </c>
      <c r="B108" s="1" t="s">
        <v>13</v>
      </c>
      <c r="C108" s="1" t="s">
        <v>114</v>
      </c>
      <c r="E108" s="1" t="s">
        <v>15</v>
      </c>
      <c r="F108" s="1" t="str" cm="1">
        <f t="array" ref="F108">_xll.BDP($A108,F$1)</f>
        <v>CLOUDFLARE INC-A</v>
      </c>
      <c r="G108" s="6" cm="1">
        <f t="array" ref="G108">_xll.BDP($A108,G$1)/100</f>
        <v>0.17978240000000001</v>
      </c>
      <c r="H108" s="6" cm="1">
        <f t="array" ref="H108">_xll.BDP($A108,H$1)/100</f>
        <v>0.17978240000000001</v>
      </c>
      <c r="I108" s="6" cm="1">
        <f t="array" ref="I108">_xll.BDP($A108,I$1)/100</f>
        <v>0.2265788</v>
      </c>
    </row>
    <row r="109" spans="1:9" x14ac:dyDescent="0.25">
      <c r="A109" s="1" t="s">
        <v>93</v>
      </c>
      <c r="B109" s="1" t="s">
        <v>13</v>
      </c>
      <c r="C109" s="1" t="s">
        <v>114</v>
      </c>
      <c r="E109" s="1" t="s">
        <v>15</v>
      </c>
      <c r="F109" s="1" t="str" cm="1">
        <f t="array" ref="F109">_xll.BDP($A109,F$1)</f>
        <v>SERVICENOW INC</v>
      </c>
      <c r="G109" s="6" cm="1">
        <f t="array" ref="G109">_xll.BDP($A109,G$1)/100</f>
        <v>0.40833429999999998</v>
      </c>
      <c r="H109" s="6" cm="1">
        <f t="array" ref="H109">_xll.BDP($A109,H$1)/100</f>
        <v>0.40833429999999998</v>
      </c>
      <c r="I109" s="6" cm="1">
        <f t="array" ref="I109">_xll.BDP($A109,I$1)/100</f>
        <v>-0.18813240000000001</v>
      </c>
    </row>
    <row r="110" spans="1:9" x14ac:dyDescent="0.25">
      <c r="A110" s="1" t="s">
        <v>132</v>
      </c>
      <c r="B110" s="1" t="s">
        <v>13</v>
      </c>
      <c r="C110" s="1" t="s">
        <v>114</v>
      </c>
      <c r="E110" s="1" t="s">
        <v>15</v>
      </c>
      <c r="F110" s="1" t="str" cm="1">
        <f t="array" ref="F110">_xll.BDP($A110,F$1)</f>
        <v>ORACLE CORP</v>
      </c>
      <c r="G110" s="6" cm="1">
        <f t="array" ref="G110">_xll.BDP($A110,G$1)/100</f>
        <v>0.39897139999999998</v>
      </c>
      <c r="H110" s="6" cm="1">
        <f t="array" ref="H110">_xll.BDP($A110,H$1)/100</f>
        <v>0.39897139999999998</v>
      </c>
      <c r="I110" s="6" cm="1">
        <f t="array" ref="I110">_xll.BDP($A110,I$1)/100</f>
        <v>0.15838079999999999</v>
      </c>
    </row>
    <row r="111" spans="1:9" x14ac:dyDescent="0.25">
      <c r="A111" s="1" t="s">
        <v>59</v>
      </c>
      <c r="B111" s="1" t="s">
        <v>13</v>
      </c>
      <c r="C111" s="1" t="s">
        <v>114</v>
      </c>
      <c r="E111" s="1" t="s">
        <v>15</v>
      </c>
      <c r="F111" s="1" t="str" cm="1">
        <f t="array" ref="F111">_xll.BDP($A111,F$1)</f>
        <v>PALO ALTO NETWOR</v>
      </c>
      <c r="G111" s="6" cm="1">
        <f t="array" ref="G111">_xll.BDP($A111,G$1)/100</f>
        <v>0.57087889999999997</v>
      </c>
      <c r="H111" s="6" cm="1">
        <f t="array" ref="H111">_xll.BDP($A111,H$1)/100</f>
        <v>0.57087880000000002</v>
      </c>
      <c r="I111" s="6" cm="1">
        <f t="array" ref="I111">_xll.BDP($A111,I$1)/100</f>
        <v>0.52926169999999995</v>
      </c>
    </row>
    <row r="112" spans="1:9" x14ac:dyDescent="0.25">
      <c r="A112" s="1" t="s">
        <v>133</v>
      </c>
      <c r="B112" s="1" t="s">
        <v>13</v>
      </c>
      <c r="C112" s="1" t="s">
        <v>114</v>
      </c>
      <c r="E112" s="1" t="s">
        <v>15</v>
      </c>
      <c r="F112" s="1" t="str" cm="1">
        <f t="array" ref="F112">_xll.BDP($A112,F$1)</f>
        <v>PROCORE TECHNOLO</v>
      </c>
      <c r="G112" s="6" cm="1">
        <f t="array" ref="G112">_xll.BDP($A112,G$1)/100</f>
        <v>-0.12530929999999998</v>
      </c>
      <c r="H112" s="6" cm="1">
        <f t="array" ref="H112">_xll.BDP($A112,H$1)/100</f>
        <v>-0.12530929999999998</v>
      </c>
      <c r="I112" s="6" cm="1">
        <f t="array" ref="I112">_xll.BDP($A112,I$1)/100</f>
        <v>-0.31963150000000001</v>
      </c>
    </row>
    <row r="113" spans="1:9" x14ac:dyDescent="0.25">
      <c r="A113" s="1" t="s">
        <v>134</v>
      </c>
      <c r="B113" s="1" t="s">
        <v>13</v>
      </c>
      <c r="C113" s="1" t="s">
        <v>114</v>
      </c>
      <c r="E113" s="1" t="s">
        <v>15</v>
      </c>
      <c r="F113" s="1" t="str" cm="1">
        <f t="array" ref="F113">_xll.BDP($A113,F$1)</f>
        <v>PTC INC</v>
      </c>
      <c r="G113" s="6" cm="1">
        <f t="array" ref="G113">_xll.BDP($A113,G$1)/100</f>
        <v>1.7828319999999998E-2</v>
      </c>
      <c r="H113" s="6" cm="1">
        <f t="array" ref="H113">_xll.BDP($A113,H$1)/100</f>
        <v>1.7828299999999998E-2</v>
      </c>
      <c r="I113" s="6" cm="1">
        <f t="array" ref="I113">_xll.BDP($A113,I$1)/100</f>
        <v>-0.20366230000000002</v>
      </c>
    </row>
    <row r="114" spans="1:9" x14ac:dyDescent="0.25">
      <c r="A114" s="1" t="s">
        <v>135</v>
      </c>
      <c r="B114" s="1" t="s">
        <v>13</v>
      </c>
      <c r="C114" s="1" t="s">
        <v>114</v>
      </c>
      <c r="E114" s="1" t="s">
        <v>15</v>
      </c>
      <c r="F114" s="1" t="str" cm="1">
        <f t="array" ref="F114">_xll.BDP($A114,F$1)</f>
        <v>ROCKWELL AUTOMAT</v>
      </c>
      <c r="G114" s="6" cm="1">
        <f t="array" ref="G114">_xll.BDP($A114,G$1)/100</f>
        <v>0.1030789</v>
      </c>
      <c r="H114" s="6" cm="1">
        <f t="array" ref="H114">_xll.BDP($A114,H$1)/100</f>
        <v>0.1030789</v>
      </c>
      <c r="I114" s="6" cm="1">
        <f t="array" ref="I114">_xll.BDP($A114,I$1)/100</f>
        <v>0.15932859999999999</v>
      </c>
    </row>
    <row r="115" spans="1:9" x14ac:dyDescent="0.25">
      <c r="A115" s="1" t="s">
        <v>136</v>
      </c>
      <c r="B115" s="1" t="s">
        <v>13</v>
      </c>
      <c r="C115" s="1" t="s">
        <v>114</v>
      </c>
      <c r="E115" s="1" t="s">
        <v>15</v>
      </c>
      <c r="F115" s="1" t="str" cm="1">
        <f t="array" ref="F115">_xll.BDP($A115,F$1)</f>
        <v>ROPER TECHNOLOGI</v>
      </c>
      <c r="G115" s="6" cm="1">
        <f t="array" ref="G115">_xll.BDP($A115,G$1)/100</f>
        <v>-8.2523040000000006E-2</v>
      </c>
      <c r="H115" s="6" cm="1">
        <f t="array" ref="H115">_xll.BDP($A115,H$1)/100</f>
        <v>-8.2523029999999997E-2</v>
      </c>
      <c r="I115" s="6" cm="1">
        <f t="array" ref="I115">_xll.BDP($A115,I$1)/100</f>
        <v>-0.26868559999999997</v>
      </c>
    </row>
    <row r="116" spans="1:9" x14ac:dyDescent="0.25">
      <c r="A116" s="1" t="s">
        <v>137</v>
      </c>
      <c r="B116" s="1" t="s">
        <v>13</v>
      </c>
      <c r="C116" s="1" t="s">
        <v>114</v>
      </c>
      <c r="E116" s="1" t="s">
        <v>15</v>
      </c>
      <c r="F116" s="1" t="str" cm="1">
        <f t="array" ref="F116">_xll.BDP($A116,F$1)</f>
        <v>SHOPIFY INC - A</v>
      </c>
      <c r="G116" s="6" cm="1">
        <f t="array" ref="G116">_xll.BDP($A116,G$1)/100</f>
        <v>-2.60859E-3</v>
      </c>
      <c r="H116" s="6" cm="1">
        <f t="array" ref="H116">_xll.BDP($A116,H$1)/100</f>
        <v>-2.6085679999999999E-3</v>
      </c>
      <c r="I116" s="6" cm="1">
        <f t="array" ref="I116">_xll.BDP($A116,I$1)/100</f>
        <v>-0.25606329999999999</v>
      </c>
    </row>
    <row r="117" spans="1:9" x14ac:dyDescent="0.25">
      <c r="A117" s="1" t="s">
        <v>138</v>
      </c>
      <c r="B117" s="1" t="s">
        <v>13</v>
      </c>
      <c r="C117" s="1" t="s">
        <v>114</v>
      </c>
      <c r="E117" s="1" t="s">
        <v>15</v>
      </c>
      <c r="F117" s="1" t="str" cm="1">
        <f t="array" ref="F117">_xll.BDP($A117,F$1)</f>
        <v>SNOWFLAKE INC</v>
      </c>
      <c r="G117" s="6" cm="1">
        <f t="array" ref="G117">_xll.BDP($A117,G$1)/100</f>
        <v>0.87257270000000009</v>
      </c>
      <c r="H117" s="6" cm="1">
        <f t="array" ref="H117">_xll.BDP($A117,H$1)/100</f>
        <v>0.87257270000000009</v>
      </c>
      <c r="I117" s="6" cm="1">
        <f t="array" ref="I117">_xll.BDP($A117,I$1)/100</f>
        <v>0.16497990000000001</v>
      </c>
    </row>
    <row r="118" spans="1:9" x14ac:dyDescent="0.25">
      <c r="A118" s="1" t="s">
        <v>139</v>
      </c>
      <c r="B118" s="1" t="s">
        <v>13</v>
      </c>
      <c r="C118" s="1" t="s">
        <v>114</v>
      </c>
      <c r="E118" s="1" t="s">
        <v>15</v>
      </c>
      <c r="F118" s="1" t="str" cm="1">
        <f t="array" ref="F118">_xll.BDP($A118,F$1)</f>
        <v>SYNOPSYS INC</v>
      </c>
      <c r="G118" s="6" cm="1">
        <f t="array" ref="G118">_xll.BDP($A118,G$1)/100</f>
        <v>-1.446332E-2</v>
      </c>
      <c r="H118" s="6" cm="1">
        <f t="array" ref="H118">_xll.BDP($A118,H$1)/100</f>
        <v>-1.446334E-2</v>
      </c>
      <c r="I118" s="6" cm="1">
        <f t="array" ref="I118">_xll.BDP($A118,I$1)/100</f>
        <v>1.2560670000000001E-2</v>
      </c>
    </row>
    <row r="119" spans="1:9" x14ac:dyDescent="0.25">
      <c r="A119" s="1" t="s">
        <v>140</v>
      </c>
      <c r="B119" s="1" t="s">
        <v>13</v>
      </c>
      <c r="C119" s="1" t="s">
        <v>114</v>
      </c>
      <c r="E119" s="1" t="s">
        <v>15</v>
      </c>
      <c r="F119" s="1" t="str" cm="1">
        <f t="array" ref="F119">_xll.BDP($A119,F$1)</f>
        <v>S&amp;P GLOBAL INC</v>
      </c>
      <c r="G119" s="6" cm="1">
        <f t="array" ref="G119">_xll.BDP($A119,G$1)/100</f>
        <v>-1.6765989999999998E-2</v>
      </c>
      <c r="H119" s="6" cm="1">
        <f t="array" ref="H119">_xll.BDP($A119,H$1)/100</f>
        <v>-1.676602E-2</v>
      </c>
      <c r="I119" s="6" cm="1">
        <f t="array" ref="I119">_xll.BDP($A119,I$1)/100</f>
        <v>-0.18865649999999998</v>
      </c>
    </row>
    <row r="120" spans="1:9" x14ac:dyDescent="0.25">
      <c r="A120" s="1" t="s">
        <v>141</v>
      </c>
      <c r="B120" s="1" t="s">
        <v>13</v>
      </c>
      <c r="C120" s="1" t="s">
        <v>114</v>
      </c>
      <c r="E120" s="1" t="s">
        <v>15</v>
      </c>
      <c r="F120" s="1" t="str" cm="1">
        <f t="array" ref="F120">_xll.BDP($A120,F$1)</f>
        <v>SYMBOTIC INC</v>
      </c>
      <c r="G120" s="6" cm="1">
        <f t="array" ref="G120">_xll.BDP($A120,G$1)/100</f>
        <v>-0.21446699999999999</v>
      </c>
      <c r="H120" s="6" cm="1">
        <f t="array" ref="H120">_xll.BDP($A120,H$1)/100</f>
        <v>-0.21446699999999999</v>
      </c>
      <c r="I120" s="6" cm="1">
        <f t="array" ref="I120">_xll.BDP($A120,I$1)/100</f>
        <v>-0.2197479</v>
      </c>
    </row>
    <row r="121" spans="1:9" x14ac:dyDescent="0.25">
      <c r="A121" s="1" t="s">
        <v>142</v>
      </c>
      <c r="B121" s="1" t="s">
        <v>13</v>
      </c>
      <c r="C121" s="1" t="s">
        <v>114</v>
      </c>
      <c r="E121" s="1" t="s">
        <v>15</v>
      </c>
      <c r="F121" s="1" t="str" cm="1">
        <f t="array" ref="F121">_xll.BDP($A121,F$1)</f>
        <v>TOAST INC-A</v>
      </c>
      <c r="G121" s="6" cm="1">
        <f t="array" ref="G121">_xll.BDP($A121,G$1)/100</f>
        <v>-8.730715E-2</v>
      </c>
      <c r="H121" s="6" cm="1">
        <f t="array" ref="H121">_xll.BDP($A121,H$1)/100</f>
        <v>-8.7307170000000003E-2</v>
      </c>
      <c r="I121" s="6" cm="1">
        <f t="array" ref="I121">_xll.BDP($A121,I$1)/100</f>
        <v>-0.26696700000000001</v>
      </c>
    </row>
    <row r="122" spans="1:9" x14ac:dyDescent="0.25">
      <c r="A122" s="1" t="s">
        <v>143</v>
      </c>
      <c r="B122" s="1" t="s">
        <v>13</v>
      </c>
      <c r="C122" s="1" t="s">
        <v>114</v>
      </c>
      <c r="E122" s="1" t="s">
        <v>15</v>
      </c>
      <c r="F122" s="1" t="str" cm="1">
        <f t="array" ref="F122">_xll.BDP($A122,F$1)</f>
        <v>TRIMBLE INC</v>
      </c>
      <c r="G122" s="6" cm="1">
        <f t="array" ref="G122">_xll.BDP($A122,G$1)/100</f>
        <v>-0.16206180000000001</v>
      </c>
      <c r="H122" s="6" cm="1">
        <f t="array" ref="H122">_xll.BDP($A122,H$1)/100</f>
        <v>-0.16206180000000001</v>
      </c>
      <c r="I122" s="6" cm="1">
        <f t="array" ref="I122">_xll.BDP($A122,I$1)/100</f>
        <v>-0.28002549999999998</v>
      </c>
    </row>
    <row r="123" spans="1:9" x14ac:dyDescent="0.25">
      <c r="A123" s="1" t="s">
        <v>144</v>
      </c>
      <c r="B123" s="1" t="s">
        <v>13</v>
      </c>
      <c r="C123" s="1" t="s">
        <v>114</v>
      </c>
      <c r="E123" s="1" t="s">
        <v>15</v>
      </c>
      <c r="F123" s="1" t="str" cm="1">
        <f t="array" ref="F123">_xll.BDP($A123,F$1)</f>
        <v>SERVICETITAN INC</v>
      </c>
      <c r="G123" s="6" cm="1">
        <f t="array" ref="G123">_xll.BDP($A123,G$1)/100</f>
        <v>0.21695260000000002</v>
      </c>
      <c r="H123" s="6" cm="1">
        <f t="array" ref="H123">_xll.BDP($A123,H$1)/100</f>
        <v>0.21695260000000002</v>
      </c>
      <c r="I123" s="6" cm="1">
        <f t="array" ref="I123">_xll.BDP($A123,I$1)/100</f>
        <v>-0.3205634</v>
      </c>
    </row>
    <row r="124" spans="1:9" x14ac:dyDescent="0.25">
      <c r="A124" s="1" t="s">
        <v>145</v>
      </c>
      <c r="B124" s="1" t="s">
        <v>13</v>
      </c>
      <c r="C124" s="1" t="s">
        <v>114</v>
      </c>
      <c r="E124" s="1" t="s">
        <v>15</v>
      </c>
      <c r="F124" s="1" t="str" cm="1">
        <f t="array" ref="F124">_xll.BDP($A124,F$1)</f>
        <v>VISA INC-CLASS A</v>
      </c>
      <c r="G124" s="6" cm="1">
        <f t="array" ref="G124">_xll.BDP($A124,G$1)/100</f>
        <v>-1.0550569999999999E-2</v>
      </c>
      <c r="H124" s="6" cm="1">
        <f t="array" ref="H124">_xll.BDP($A124,H$1)/100</f>
        <v>-1.055056E-2</v>
      </c>
      <c r="I124" s="6" cm="1">
        <f t="array" ref="I124">_xll.BDP($A124,I$1)/100</f>
        <v>-6.9430560000000002E-2</v>
      </c>
    </row>
    <row r="125" spans="1:9" x14ac:dyDescent="0.25">
      <c r="A125" s="1" t="s">
        <v>146</v>
      </c>
      <c r="B125" s="1" t="s">
        <v>13</v>
      </c>
      <c r="C125" s="1" t="s">
        <v>114</v>
      </c>
      <c r="E125" s="1" t="s">
        <v>15</v>
      </c>
      <c r="F125" s="1" t="str" cm="1">
        <f t="array" ref="F125">_xll.BDP($A125,F$1)</f>
        <v>VEEVA SYSTEMS-A</v>
      </c>
      <c r="G125" s="6" cm="1">
        <f t="array" ref="G125">_xll.BDP($A125,G$1)/100</f>
        <v>0.1177791</v>
      </c>
      <c r="H125" s="6" cm="1">
        <f t="array" ref="H125">_xll.BDP($A125,H$1)/100</f>
        <v>0.1177791</v>
      </c>
      <c r="I125" s="6" cm="1">
        <f t="array" ref="I125">_xll.BDP($A125,I$1)/100</f>
        <v>-0.21901180000000001</v>
      </c>
    </row>
    <row r="126" spans="1:9" x14ac:dyDescent="0.25">
      <c r="A126" s="1" t="s">
        <v>147</v>
      </c>
      <c r="B126" s="1" t="s">
        <v>13</v>
      </c>
      <c r="C126" s="1" t="s">
        <v>114</v>
      </c>
      <c r="E126" s="1" t="s">
        <v>15</v>
      </c>
      <c r="F126" s="1" t="str" cm="1">
        <f t="array" ref="F126">_xll.BDP($A126,F$1)</f>
        <v>VERISK ANALYTI</v>
      </c>
      <c r="G126" s="6" cm="1">
        <f t="array" ref="G126">_xll.BDP($A126,G$1)/100</f>
        <v>-5.149331E-2</v>
      </c>
      <c r="H126" s="6" cm="1">
        <f t="array" ref="H126">_xll.BDP($A126,H$1)/100</f>
        <v>-5.1493330000000004E-2</v>
      </c>
      <c r="I126" s="6" cm="1">
        <f t="array" ref="I126">_xll.BDP($A126,I$1)/100</f>
        <v>-0.21771200000000002</v>
      </c>
    </row>
    <row r="127" spans="1:9" x14ac:dyDescent="0.25">
      <c r="A127" s="1" t="s">
        <v>148</v>
      </c>
      <c r="B127" s="1" t="s">
        <v>13</v>
      </c>
      <c r="C127" s="1" t="s">
        <v>114</v>
      </c>
      <c r="E127" s="1" t="s">
        <v>15</v>
      </c>
      <c r="F127" s="1" t="str" cm="1">
        <f t="array" ref="F127">_xll.BDP($A127,F$1)</f>
        <v>WORKDAY INC-A</v>
      </c>
      <c r="G127" s="6" cm="1">
        <f t="array" ref="G127">_xll.BDP($A127,G$1)/100</f>
        <v>0.1943627</v>
      </c>
      <c r="H127" s="6" cm="1">
        <f t="array" ref="H127">_xll.BDP($A127,H$1)/100</f>
        <v>0.1943627</v>
      </c>
      <c r="I127" s="6" cm="1">
        <f t="array" ref="I127">_xll.BDP($A127,I$1)/100</f>
        <v>-0.31934999999999997</v>
      </c>
    </row>
    <row r="128" spans="1:9" x14ac:dyDescent="0.25">
      <c r="A128" s="1" t="s">
        <v>149</v>
      </c>
      <c r="B128" s="1" t="s">
        <v>13</v>
      </c>
      <c r="C128" s="1" t="s">
        <v>114</v>
      </c>
      <c r="E128" s="1" t="s">
        <v>15</v>
      </c>
      <c r="F128" s="1" t="str" cm="1">
        <f t="array" ref="F128">_xll.BDP($A128,F$1)</f>
        <v>ZSCALER INC</v>
      </c>
      <c r="G128" s="6" cm="1">
        <f t="array" ref="G128">_xll.BDP($A128,G$1)/100</f>
        <v>6.9253140000000005E-2</v>
      </c>
      <c r="H128" s="6" cm="1">
        <f t="array" ref="H128">_xll.BDP($A128,H$1)/100</f>
        <v>6.9253200000000001E-2</v>
      </c>
      <c r="I128" s="6" cm="1">
        <f t="array" ref="I128">_xll.BDP($A128,I$1)/100</f>
        <v>-0.37875690000000001</v>
      </c>
    </row>
    <row r="129" spans="1:9" x14ac:dyDescent="0.25">
      <c r="A129" s="1" t="s">
        <v>54</v>
      </c>
      <c r="B129" s="1" t="s">
        <v>13</v>
      </c>
      <c r="C129" s="1" t="s">
        <v>114</v>
      </c>
      <c r="D129" s="1" t="s">
        <v>150</v>
      </c>
      <c r="E129" s="1" t="s">
        <v>15</v>
      </c>
      <c r="F129" s="1" t="str" cm="1">
        <f t="array" ref="F129">_xll.BDP($A129,F$1)</f>
        <v>CROWDSTRIKE HO-A</v>
      </c>
      <c r="G129" s="6" cm="1">
        <f t="array" ref="G129">_xll.BDP($A129,G$1)/100</f>
        <v>0.63993270000000002</v>
      </c>
      <c r="H129" s="6" cm="1">
        <f t="array" ref="H129">_xll.BDP($A129,H$1)/100</f>
        <v>0.63993270000000002</v>
      </c>
      <c r="I129" s="6" cm="1">
        <f t="array" ref="I129">_xll.BDP($A129,I$1)/100</f>
        <v>0.55943339999999997</v>
      </c>
    </row>
    <row r="130" spans="1:9" x14ac:dyDescent="0.25">
      <c r="A130" s="1" t="s">
        <v>56</v>
      </c>
      <c r="B130" s="1" t="s">
        <v>13</v>
      </c>
      <c r="C130" s="1" t="s">
        <v>114</v>
      </c>
      <c r="D130" s="1" t="s">
        <v>150</v>
      </c>
      <c r="E130" s="1" t="s">
        <v>15</v>
      </c>
      <c r="F130" s="1" t="str" cm="1">
        <f t="array" ref="F130">_xll.BDP($A130,F$1)</f>
        <v>FORTINET INC</v>
      </c>
      <c r="G130" s="6" cm="1">
        <f t="array" ref="G130">_xll.BDP($A130,G$1)/100</f>
        <v>0.63646069999999999</v>
      </c>
      <c r="H130" s="6" cm="1">
        <f t="array" ref="H130">_xll.BDP($A130,H$1)/100</f>
        <v>0.63646069999999999</v>
      </c>
      <c r="I130" s="6" cm="1">
        <f t="array" ref="I130">_xll.BDP($A130,I$1)/100</f>
        <v>0.7374385</v>
      </c>
    </row>
    <row r="131" spans="1:9" x14ac:dyDescent="0.25">
      <c r="A131" s="1" t="s">
        <v>58</v>
      </c>
      <c r="B131" s="1" t="s">
        <v>13</v>
      </c>
      <c r="C131" s="1" t="s">
        <v>114</v>
      </c>
      <c r="D131" s="1" t="s">
        <v>150</v>
      </c>
      <c r="E131" s="1" t="s">
        <v>15</v>
      </c>
      <c r="F131" s="1" t="str" cm="1">
        <f t="array" ref="F131">_xll.BDP($A131,F$1)</f>
        <v>CLOUDFLARE INC-A</v>
      </c>
      <c r="G131" s="6" cm="1">
        <f t="array" ref="G131">_xll.BDP($A131,G$1)/100</f>
        <v>0.17978240000000001</v>
      </c>
      <c r="H131" s="6" cm="1">
        <f t="array" ref="H131">_xll.BDP($A131,H$1)/100</f>
        <v>0.17978240000000001</v>
      </c>
      <c r="I131" s="6" cm="1">
        <f t="array" ref="I131">_xll.BDP($A131,I$1)/100</f>
        <v>0.2265788</v>
      </c>
    </row>
    <row r="132" spans="1:9" x14ac:dyDescent="0.25">
      <c r="A132" s="1" t="s">
        <v>59</v>
      </c>
      <c r="B132" s="1" t="s">
        <v>13</v>
      </c>
      <c r="C132" s="1" t="s">
        <v>114</v>
      </c>
      <c r="D132" s="1" t="s">
        <v>150</v>
      </c>
      <c r="E132" s="1" t="s">
        <v>15</v>
      </c>
      <c r="F132" s="1" t="str" cm="1">
        <f t="array" ref="F132">_xll.BDP($A132,F$1)</f>
        <v>PALO ALTO NETWOR</v>
      </c>
      <c r="G132" s="6" cm="1">
        <f t="array" ref="G132">_xll.BDP($A132,G$1)/100</f>
        <v>0.57087889999999997</v>
      </c>
      <c r="H132" s="6" cm="1">
        <f t="array" ref="H132">_xll.BDP($A132,H$1)/100</f>
        <v>0.57087880000000002</v>
      </c>
      <c r="I132" s="6" cm="1">
        <f t="array" ref="I132">_xll.BDP($A132,I$1)/100</f>
        <v>0.52926169999999995</v>
      </c>
    </row>
    <row r="133" spans="1:9" x14ac:dyDescent="0.25">
      <c r="A133" s="1" t="s">
        <v>149</v>
      </c>
      <c r="B133" s="1" t="s">
        <v>13</v>
      </c>
      <c r="C133" s="1" t="s">
        <v>114</v>
      </c>
      <c r="D133" s="1" t="s">
        <v>150</v>
      </c>
      <c r="E133" s="1" t="s">
        <v>15</v>
      </c>
      <c r="F133" s="1" t="str" cm="1">
        <f t="array" ref="F133">_xll.BDP($A133,F$1)</f>
        <v>ZSCALER INC</v>
      </c>
      <c r="G133" s="6" cm="1">
        <f t="array" ref="G133">_xll.BDP($A133,G$1)/100</f>
        <v>6.9253140000000005E-2</v>
      </c>
      <c r="H133" s="6" cm="1">
        <f t="array" ref="H133">_xll.BDP($A133,H$1)/100</f>
        <v>6.9253200000000001E-2</v>
      </c>
      <c r="I133" s="6" cm="1">
        <f t="array" ref="I133">_xll.BDP($A133,I$1)/100</f>
        <v>-0.37875690000000001</v>
      </c>
    </row>
    <row r="134" spans="1:9" x14ac:dyDescent="0.25">
      <c r="A134" s="1" t="s">
        <v>115</v>
      </c>
      <c r="B134" s="1" t="s">
        <v>13</v>
      </c>
      <c r="C134" s="1" t="s">
        <v>114</v>
      </c>
      <c r="D134" s="1" t="s">
        <v>151</v>
      </c>
      <c r="E134" s="1" t="s">
        <v>15</v>
      </c>
      <c r="F134" s="1" t="str" cm="1">
        <f t="array" ref="F134">_xll.BDP($A134,F$1)</f>
        <v>AUTODESK INC</v>
      </c>
      <c r="G134" s="6" cm="1">
        <f t="array" ref="G134">_xll.BDP($A134,G$1)/100</f>
        <v>-2.4008440000000002E-2</v>
      </c>
      <c r="H134" s="6" cm="1">
        <f t="array" ref="H134">_xll.BDP($A134,H$1)/100</f>
        <v>-2.4008440000000002E-2</v>
      </c>
      <c r="I134" s="6" cm="1">
        <f t="array" ref="I134">_xll.BDP($A134,I$1)/100</f>
        <v>-0.21857369999999998</v>
      </c>
    </row>
    <row r="135" spans="1:9" x14ac:dyDescent="0.25">
      <c r="A135" s="1" t="s">
        <v>20</v>
      </c>
      <c r="B135" s="1" t="s">
        <v>13</v>
      </c>
      <c r="C135" s="1" t="s">
        <v>114</v>
      </c>
      <c r="D135" s="1" t="s">
        <v>151</v>
      </c>
      <c r="E135" s="1" t="s">
        <v>15</v>
      </c>
      <c r="F135" s="1" t="str" cm="1">
        <f t="array" ref="F135">_xll.BDP($A135,F$1)</f>
        <v>BROADRIDGE FINL</v>
      </c>
      <c r="G135" s="6" cm="1">
        <f t="array" ref="G135">_xll.BDP($A135,G$1)/100</f>
        <v>-1.6885310000000001E-3</v>
      </c>
      <c r="H135" s="6" cm="1">
        <f t="array" ref="H135">_xll.BDP($A135,H$1)/100</f>
        <v>-1.6885030000000001E-3</v>
      </c>
      <c r="I135" s="6" cm="1">
        <f t="array" ref="I135">_xll.BDP($A135,I$1)/100</f>
        <v>-0.31119769999999997</v>
      </c>
    </row>
    <row r="136" spans="1:9" x14ac:dyDescent="0.25">
      <c r="A136" s="1" t="s">
        <v>117</v>
      </c>
      <c r="B136" s="1" t="s">
        <v>13</v>
      </c>
      <c r="C136" s="1" t="s">
        <v>114</v>
      </c>
      <c r="D136" s="1" t="s">
        <v>151</v>
      </c>
      <c r="E136" s="1" t="s">
        <v>15</v>
      </c>
      <c r="F136" s="1" t="str" cm="1">
        <f t="array" ref="F136">_xll.BDP($A136,F$1)</f>
        <v>BENTLEY SYSTEM-B</v>
      </c>
      <c r="G136" s="6" cm="1">
        <f t="array" ref="G136">_xll.BDP($A136,G$1)/100</f>
        <v>6.1312079999999993E-4</v>
      </c>
      <c r="H136" s="6" cm="1">
        <f t="array" ref="H136">_xll.BDP($A136,H$1)/100</f>
        <v>6.1315350000000002E-4</v>
      </c>
      <c r="I136" s="6" cm="1">
        <f t="array" ref="I136">_xll.BDP($A136,I$1)/100</f>
        <v>-0.14476620000000001</v>
      </c>
    </row>
    <row r="137" spans="1:9" x14ac:dyDescent="0.25">
      <c r="A137" s="1" t="s">
        <v>118</v>
      </c>
      <c r="B137" s="1" t="s">
        <v>13</v>
      </c>
      <c r="C137" s="1" t="s">
        <v>114</v>
      </c>
      <c r="D137" s="1" t="s">
        <v>151</v>
      </c>
      <c r="E137" s="1" t="s">
        <v>15</v>
      </c>
      <c r="F137" s="1" t="str" cm="1">
        <f t="array" ref="F137">_xll.BDP($A137,F$1)</f>
        <v>CADENCE DESIGN</v>
      </c>
      <c r="G137" s="6" cm="1">
        <f t="array" ref="G137">_xll.BDP($A137,G$1)/100</f>
        <v>0.13756489999999999</v>
      </c>
      <c r="H137" s="6" cm="1">
        <f t="array" ref="H137">_xll.BDP($A137,H$1)/100</f>
        <v>0.13756489999999999</v>
      </c>
      <c r="I137" s="6" cm="1">
        <f t="array" ref="I137">_xll.BDP($A137,I$1)/100</f>
        <v>0.19946900000000001</v>
      </c>
    </row>
    <row r="138" spans="1:9" x14ac:dyDescent="0.25">
      <c r="A138" s="1" t="s">
        <v>91</v>
      </c>
      <c r="B138" s="1" t="s">
        <v>13</v>
      </c>
      <c r="C138" s="1" t="s">
        <v>114</v>
      </c>
      <c r="D138" s="1" t="s">
        <v>151</v>
      </c>
      <c r="E138" s="1" t="s">
        <v>15</v>
      </c>
      <c r="F138" s="1" t="str" cm="1">
        <f t="array" ref="F138">_xll.BDP($A138,F$1)</f>
        <v>SALESFORCE INC</v>
      </c>
      <c r="G138" s="6" cm="1">
        <f t="array" ref="G138">_xll.BDP($A138,G$1)/100</f>
        <v>8.2535549999999999E-2</v>
      </c>
      <c r="H138" s="6" cm="1">
        <f t="array" ref="H138">_xll.BDP($A138,H$1)/100</f>
        <v>8.2535549999999999E-2</v>
      </c>
      <c r="I138" s="6" cm="1">
        <f t="array" ref="I138">_xll.BDP($A138,I$1)/100</f>
        <v>-0.27862290000000001</v>
      </c>
    </row>
    <row r="139" spans="1:9" x14ac:dyDescent="0.25">
      <c r="A139" s="1" t="s">
        <v>54</v>
      </c>
      <c r="B139" s="1" t="s">
        <v>13</v>
      </c>
      <c r="C139" s="1" t="s">
        <v>114</v>
      </c>
      <c r="D139" s="1" t="s">
        <v>151</v>
      </c>
      <c r="E139" s="1" t="s">
        <v>15</v>
      </c>
      <c r="F139" s="1" t="str" cm="1">
        <f t="array" ref="F139">_xll.BDP($A139,F$1)</f>
        <v>CROWDSTRIKE HO-A</v>
      </c>
      <c r="G139" s="6" cm="1">
        <f t="array" ref="G139">_xll.BDP($A139,G$1)/100</f>
        <v>0.63993270000000002</v>
      </c>
      <c r="H139" s="6" cm="1">
        <f t="array" ref="H139">_xll.BDP($A139,H$1)/100</f>
        <v>0.63993270000000002</v>
      </c>
      <c r="I139" s="6" cm="1">
        <f t="array" ref="I139">_xll.BDP($A139,I$1)/100</f>
        <v>0.55943339999999997</v>
      </c>
    </row>
    <row r="140" spans="1:9" x14ac:dyDescent="0.25">
      <c r="A140" s="1" t="s">
        <v>122</v>
      </c>
      <c r="B140" s="1" t="s">
        <v>13</v>
      </c>
      <c r="C140" s="1" t="s">
        <v>114</v>
      </c>
      <c r="D140" s="1" t="s">
        <v>151</v>
      </c>
      <c r="E140" s="1" t="s">
        <v>15</v>
      </c>
      <c r="F140" s="1" t="str" cm="1">
        <f t="array" ref="F140">_xll.BDP($A140,F$1)</f>
        <v>DATADOG INC-A</v>
      </c>
      <c r="G140" s="6" cm="1">
        <f t="array" ref="G140">_xll.BDP($A140,G$1)/100</f>
        <v>0.87117029999999995</v>
      </c>
      <c r="H140" s="6" cm="1">
        <f t="array" ref="H140">_xll.BDP($A140,H$1)/100</f>
        <v>0.87117029999999995</v>
      </c>
      <c r="I140" s="6" cm="1">
        <f t="array" ref="I140">_xll.BDP($A140,I$1)/100</f>
        <v>0.81888369999999999</v>
      </c>
    </row>
    <row r="141" spans="1:9" x14ac:dyDescent="0.25">
      <c r="A141" s="1" t="s">
        <v>56</v>
      </c>
      <c r="B141" s="1" t="s">
        <v>13</v>
      </c>
      <c r="C141" s="1" t="s">
        <v>114</v>
      </c>
      <c r="D141" s="1" t="s">
        <v>151</v>
      </c>
      <c r="E141" s="1" t="s">
        <v>15</v>
      </c>
      <c r="F141" s="1" t="str" cm="1">
        <f t="array" ref="F141">_xll.BDP($A141,F$1)</f>
        <v>FORTINET INC</v>
      </c>
      <c r="G141" s="6" cm="1">
        <f t="array" ref="G141">_xll.BDP($A141,G$1)/100</f>
        <v>0.63646069999999999</v>
      </c>
      <c r="H141" s="6" cm="1">
        <f t="array" ref="H141">_xll.BDP($A141,H$1)/100</f>
        <v>0.63646069999999999</v>
      </c>
      <c r="I141" s="6" cm="1">
        <f t="array" ref="I141">_xll.BDP($A141,I$1)/100</f>
        <v>0.7374385</v>
      </c>
    </row>
    <row r="142" spans="1:9" x14ac:dyDescent="0.25">
      <c r="A142" s="1" t="s">
        <v>129</v>
      </c>
      <c r="B142" s="1" t="s">
        <v>13</v>
      </c>
      <c r="C142" s="1" t="s">
        <v>114</v>
      </c>
      <c r="D142" s="1" t="s">
        <v>151</v>
      </c>
      <c r="E142" s="1" t="s">
        <v>15</v>
      </c>
      <c r="F142" s="1" t="str" cm="1">
        <f t="array" ref="F142">_xll.BDP($A142,F$1)</f>
        <v>MASTERCARD INC-A</v>
      </c>
      <c r="G142" s="6" cm="1">
        <f t="array" ref="G142">_xll.BDP($A142,G$1)/100</f>
        <v>-1.7776190000000001E-2</v>
      </c>
      <c r="H142" s="6" cm="1">
        <f t="array" ref="H142">_xll.BDP($A142,H$1)/100</f>
        <v>-1.7776210000000001E-2</v>
      </c>
      <c r="I142" s="6" cm="1">
        <f t="array" ref="I142">_xll.BDP($A142,I$1)/100</f>
        <v>-0.1347043</v>
      </c>
    </row>
    <row r="143" spans="1:9" x14ac:dyDescent="0.25">
      <c r="A143" s="1" t="s">
        <v>130</v>
      </c>
      <c r="B143" s="1" t="s">
        <v>13</v>
      </c>
      <c r="C143" s="1" t="s">
        <v>114</v>
      </c>
      <c r="D143" s="1" t="s">
        <v>151</v>
      </c>
      <c r="E143" s="1" t="s">
        <v>15</v>
      </c>
      <c r="F143" s="1" t="str" cm="1">
        <f t="array" ref="F143">_xll.BDP($A143,F$1)</f>
        <v>MONGODB INC</v>
      </c>
      <c r="G143" s="6" cm="1">
        <f t="array" ref="G143">_xll.BDP($A143,G$1)/100</f>
        <v>0.33775860000000002</v>
      </c>
      <c r="H143" s="6" cm="1">
        <f t="array" ref="H143">_xll.BDP($A143,H$1)/100</f>
        <v>0.33775860000000002</v>
      </c>
      <c r="I143" s="6" cm="1">
        <f t="array" ref="I143">_xll.BDP($A143,I$1)/100</f>
        <v>-0.2004813</v>
      </c>
    </row>
    <row r="144" spans="1:9" x14ac:dyDescent="0.25">
      <c r="A144" s="1" t="s">
        <v>58</v>
      </c>
      <c r="B144" s="1" t="s">
        <v>13</v>
      </c>
      <c r="C144" s="1" t="s">
        <v>114</v>
      </c>
      <c r="D144" s="1" t="s">
        <v>151</v>
      </c>
      <c r="E144" s="1" t="s">
        <v>15</v>
      </c>
      <c r="F144" s="1" t="str" cm="1">
        <f t="array" ref="F144">_xll.BDP($A144,F$1)</f>
        <v>CLOUDFLARE INC-A</v>
      </c>
      <c r="G144" s="6" cm="1">
        <f t="array" ref="G144">_xll.BDP($A144,G$1)/100</f>
        <v>0.17978240000000001</v>
      </c>
      <c r="H144" s="6" cm="1">
        <f t="array" ref="H144">_xll.BDP($A144,H$1)/100</f>
        <v>0.17978240000000001</v>
      </c>
      <c r="I144" s="6" cm="1">
        <f t="array" ref="I144">_xll.BDP($A144,I$1)/100</f>
        <v>0.2265788</v>
      </c>
    </row>
    <row r="145" spans="1:9" x14ac:dyDescent="0.25">
      <c r="A145" s="1" t="s">
        <v>93</v>
      </c>
      <c r="B145" s="1" t="s">
        <v>13</v>
      </c>
      <c r="C145" s="1" t="s">
        <v>114</v>
      </c>
      <c r="D145" s="1" t="s">
        <v>151</v>
      </c>
      <c r="E145" s="1" t="s">
        <v>15</v>
      </c>
      <c r="F145" s="1" t="str" cm="1">
        <f t="array" ref="F145">_xll.BDP($A145,F$1)</f>
        <v>SERVICENOW INC</v>
      </c>
      <c r="G145" s="6" cm="1">
        <f t="array" ref="G145">_xll.BDP($A145,G$1)/100</f>
        <v>0.40833429999999998</v>
      </c>
      <c r="H145" s="6" cm="1">
        <f t="array" ref="H145">_xll.BDP($A145,H$1)/100</f>
        <v>0.40833429999999998</v>
      </c>
      <c r="I145" s="6" cm="1">
        <f t="array" ref="I145">_xll.BDP($A145,I$1)/100</f>
        <v>-0.18813240000000001</v>
      </c>
    </row>
    <row r="146" spans="1:9" x14ac:dyDescent="0.25">
      <c r="A146" s="1" t="s">
        <v>59</v>
      </c>
      <c r="B146" s="1" t="s">
        <v>13</v>
      </c>
      <c r="C146" s="1" t="s">
        <v>114</v>
      </c>
      <c r="D146" s="1" t="s">
        <v>151</v>
      </c>
      <c r="E146" s="1" t="s">
        <v>15</v>
      </c>
      <c r="F146" s="1" t="str" cm="1">
        <f t="array" ref="F146">_xll.BDP($A146,F$1)</f>
        <v>PALO ALTO NETWOR</v>
      </c>
      <c r="G146" s="6" cm="1">
        <f t="array" ref="G146">_xll.BDP($A146,G$1)/100</f>
        <v>0.57087889999999997</v>
      </c>
      <c r="H146" s="6" cm="1">
        <f t="array" ref="H146">_xll.BDP($A146,H$1)/100</f>
        <v>0.57087880000000002</v>
      </c>
      <c r="I146" s="6" cm="1">
        <f t="array" ref="I146">_xll.BDP($A146,I$1)/100</f>
        <v>0.52926169999999995</v>
      </c>
    </row>
    <row r="147" spans="1:9" x14ac:dyDescent="0.25">
      <c r="A147" s="1" t="s">
        <v>138</v>
      </c>
      <c r="B147" s="1" t="s">
        <v>13</v>
      </c>
      <c r="C147" s="1" t="s">
        <v>114</v>
      </c>
      <c r="D147" s="1" t="s">
        <v>151</v>
      </c>
      <c r="E147" s="1" t="s">
        <v>15</v>
      </c>
      <c r="F147" s="1" t="str" cm="1">
        <f t="array" ref="F147">_xll.BDP($A147,F$1)</f>
        <v>SNOWFLAKE INC</v>
      </c>
      <c r="G147" s="6" cm="1">
        <f t="array" ref="G147">_xll.BDP($A147,G$1)/100</f>
        <v>0.87257270000000009</v>
      </c>
      <c r="H147" s="6" cm="1">
        <f t="array" ref="H147">_xll.BDP($A147,H$1)/100</f>
        <v>0.87257270000000009</v>
      </c>
      <c r="I147" s="6" cm="1">
        <f t="array" ref="I147">_xll.BDP($A147,I$1)/100</f>
        <v>0.16497990000000001</v>
      </c>
    </row>
    <row r="148" spans="1:9" x14ac:dyDescent="0.25">
      <c r="A148" s="1" t="s">
        <v>139</v>
      </c>
      <c r="B148" s="1" t="s">
        <v>13</v>
      </c>
      <c r="C148" s="1" t="s">
        <v>114</v>
      </c>
      <c r="D148" s="1" t="s">
        <v>151</v>
      </c>
      <c r="E148" s="1" t="s">
        <v>15</v>
      </c>
      <c r="F148" s="1" t="str" cm="1">
        <f t="array" ref="F148">_xll.BDP($A148,F$1)</f>
        <v>SYNOPSYS INC</v>
      </c>
      <c r="G148" s="6" cm="1">
        <f t="array" ref="G148">_xll.BDP($A148,G$1)/100</f>
        <v>-1.446332E-2</v>
      </c>
      <c r="H148" s="6" cm="1">
        <f t="array" ref="H148">_xll.BDP($A148,H$1)/100</f>
        <v>-1.446334E-2</v>
      </c>
      <c r="I148" s="6" cm="1">
        <f t="array" ref="I148">_xll.BDP($A148,I$1)/100</f>
        <v>1.2560670000000001E-2</v>
      </c>
    </row>
    <row r="149" spans="1:9" x14ac:dyDescent="0.25">
      <c r="A149" s="1" t="s">
        <v>145</v>
      </c>
      <c r="B149" s="1" t="s">
        <v>13</v>
      </c>
      <c r="C149" s="1" t="s">
        <v>114</v>
      </c>
      <c r="D149" s="1" t="s">
        <v>151</v>
      </c>
      <c r="E149" s="1" t="s">
        <v>15</v>
      </c>
      <c r="F149" s="1" t="str" cm="1">
        <f t="array" ref="F149">_xll.BDP($A149,F$1)</f>
        <v>VISA INC-CLASS A</v>
      </c>
      <c r="G149" s="6" cm="1">
        <f t="array" ref="G149">_xll.BDP($A149,G$1)/100</f>
        <v>-1.0550569999999999E-2</v>
      </c>
      <c r="H149" s="6" cm="1">
        <f t="array" ref="H149">_xll.BDP($A149,H$1)/100</f>
        <v>-1.055056E-2</v>
      </c>
      <c r="I149" s="6" cm="1">
        <f t="array" ref="I149">_xll.BDP($A149,I$1)/100</f>
        <v>-6.9430560000000002E-2</v>
      </c>
    </row>
    <row r="150" spans="1:9" x14ac:dyDescent="0.25">
      <c r="A150" s="1" t="s">
        <v>149</v>
      </c>
      <c r="B150" s="1" t="s">
        <v>13</v>
      </c>
      <c r="C150" s="1" t="s">
        <v>114</v>
      </c>
      <c r="D150" s="1" t="s">
        <v>151</v>
      </c>
      <c r="E150" s="1" t="s">
        <v>15</v>
      </c>
      <c r="F150" s="1" t="str" cm="1">
        <f t="array" ref="F150">_xll.BDP($A150,F$1)</f>
        <v>ZSCALER INC</v>
      </c>
      <c r="G150" s="6" cm="1">
        <f t="array" ref="G150">_xll.BDP($A150,G$1)/100</f>
        <v>6.9253140000000005E-2</v>
      </c>
      <c r="H150" s="6" cm="1">
        <f t="array" ref="H150">_xll.BDP($A150,H$1)/100</f>
        <v>6.9253200000000001E-2</v>
      </c>
      <c r="I150" s="6" cm="1">
        <f t="array" ref="I150">_xll.BDP($A150,I$1)/100</f>
        <v>-0.37875690000000001</v>
      </c>
    </row>
    <row r="151" spans="1:9" x14ac:dyDescent="0.25">
      <c r="A151" s="1" t="s">
        <v>123</v>
      </c>
      <c r="B151" s="1" t="s">
        <v>13</v>
      </c>
      <c r="C151" s="1" t="s">
        <v>114</v>
      </c>
      <c r="D151" s="1" t="s">
        <v>152</v>
      </c>
      <c r="E151" s="1" t="s">
        <v>15</v>
      </c>
      <c r="F151" s="1" t="str" cm="1">
        <f t="array" ref="F151">_xll.BDP($A151,F$1)</f>
        <v>DEERE &amp; CO</v>
      </c>
      <c r="G151" s="6" cm="1">
        <f t="array" ref="G151">_xll.BDP($A151,G$1)/100</f>
        <v>-8.0848320000000001E-2</v>
      </c>
      <c r="H151" s="6" cm="1">
        <f t="array" ref="H151">_xll.BDP($A151,H$1)/100</f>
        <v>-8.0848309999999993E-2</v>
      </c>
      <c r="I151" s="6" cm="1">
        <f t="array" ref="I151">_xll.BDP($A151,I$1)/100</f>
        <v>0.164551</v>
      </c>
    </row>
    <row r="152" spans="1:9" x14ac:dyDescent="0.25">
      <c r="A152" s="1" t="s">
        <v>127</v>
      </c>
      <c r="B152" s="1" t="s">
        <v>13</v>
      </c>
      <c r="C152" s="1" t="s">
        <v>114</v>
      </c>
      <c r="D152" s="1" t="s">
        <v>152</v>
      </c>
      <c r="E152" s="1" t="s">
        <v>15</v>
      </c>
      <c r="F152" s="1" t="str" cm="1">
        <f t="array" ref="F152">_xll.BDP($A152,F$1)</f>
        <v>SAMSARA INC-CL A</v>
      </c>
      <c r="G152" s="6" cm="1">
        <f t="array" ref="G152">_xll.BDP($A152,G$1)/100</f>
        <v>0.21746690000000002</v>
      </c>
      <c r="H152" s="6" cm="1">
        <f t="array" ref="H152">_xll.BDP($A152,H$1)/100</f>
        <v>0.21746699999999999</v>
      </c>
      <c r="I152" s="6" cm="1">
        <f t="array" ref="I152">_xll.BDP($A152,I$1)/100</f>
        <v>-1.2976039999999999E-2</v>
      </c>
    </row>
    <row r="153" spans="1:9" x14ac:dyDescent="0.25">
      <c r="A153" s="1" t="s">
        <v>133</v>
      </c>
      <c r="B153" s="1" t="s">
        <v>13</v>
      </c>
      <c r="C153" s="1" t="s">
        <v>114</v>
      </c>
      <c r="D153" s="1" t="s">
        <v>152</v>
      </c>
      <c r="E153" s="1" t="s">
        <v>15</v>
      </c>
      <c r="F153" s="1" t="str" cm="1">
        <f t="array" ref="F153">_xll.BDP($A153,F$1)</f>
        <v>PROCORE TECHNOLO</v>
      </c>
      <c r="G153" s="6" cm="1">
        <f t="array" ref="G153">_xll.BDP($A153,G$1)/100</f>
        <v>-0.12530929999999998</v>
      </c>
      <c r="H153" s="6" cm="1">
        <f t="array" ref="H153">_xll.BDP($A153,H$1)/100</f>
        <v>-0.12530929999999998</v>
      </c>
      <c r="I153" s="6" cm="1">
        <f t="array" ref="I153">_xll.BDP($A153,I$1)/100</f>
        <v>-0.31963150000000001</v>
      </c>
    </row>
    <row r="154" spans="1:9" x14ac:dyDescent="0.25">
      <c r="A154" s="1" t="s">
        <v>134</v>
      </c>
      <c r="B154" s="1" t="s">
        <v>13</v>
      </c>
      <c r="C154" s="1" t="s">
        <v>114</v>
      </c>
      <c r="D154" s="1" t="s">
        <v>152</v>
      </c>
      <c r="E154" s="1" t="s">
        <v>15</v>
      </c>
      <c r="F154" s="1" t="str" cm="1">
        <f t="array" ref="F154">_xll.BDP($A154,F$1)</f>
        <v>PTC INC</v>
      </c>
      <c r="G154" s="6" cm="1">
        <f t="array" ref="G154">_xll.BDP($A154,G$1)/100</f>
        <v>1.7828319999999998E-2</v>
      </c>
      <c r="H154" s="6" cm="1">
        <f t="array" ref="H154">_xll.BDP($A154,H$1)/100</f>
        <v>1.7828299999999998E-2</v>
      </c>
      <c r="I154" s="6" cm="1">
        <f t="array" ref="I154">_xll.BDP($A154,I$1)/100</f>
        <v>-0.20366230000000002</v>
      </c>
    </row>
    <row r="155" spans="1:9" x14ac:dyDescent="0.25">
      <c r="A155" s="1" t="s">
        <v>135</v>
      </c>
      <c r="B155" s="1" t="s">
        <v>13</v>
      </c>
      <c r="C155" s="1" t="s">
        <v>114</v>
      </c>
      <c r="D155" s="1" t="s">
        <v>152</v>
      </c>
      <c r="E155" s="1" t="s">
        <v>15</v>
      </c>
      <c r="F155" s="1" t="str" cm="1">
        <f t="array" ref="F155">_xll.BDP($A155,F$1)</f>
        <v>ROCKWELL AUTOMAT</v>
      </c>
      <c r="G155" s="6" cm="1">
        <f t="array" ref="G155">_xll.BDP($A155,G$1)/100</f>
        <v>0.1030789</v>
      </c>
      <c r="H155" s="6" cm="1">
        <f t="array" ref="H155">_xll.BDP($A155,H$1)/100</f>
        <v>0.1030789</v>
      </c>
      <c r="I155" s="6" cm="1">
        <f t="array" ref="I155">_xll.BDP($A155,I$1)/100</f>
        <v>0.15932859999999999</v>
      </c>
    </row>
    <row r="156" spans="1:9" x14ac:dyDescent="0.25">
      <c r="A156" s="1" t="s">
        <v>141</v>
      </c>
      <c r="B156" s="1" t="s">
        <v>13</v>
      </c>
      <c r="C156" s="1" t="s">
        <v>114</v>
      </c>
      <c r="D156" s="1" t="s">
        <v>152</v>
      </c>
      <c r="E156" s="1" t="s">
        <v>15</v>
      </c>
      <c r="F156" s="1" t="str" cm="1">
        <f t="array" ref="F156">_xll.BDP($A156,F$1)</f>
        <v>SYMBOTIC INC</v>
      </c>
      <c r="G156" s="6" cm="1">
        <f t="array" ref="G156">_xll.BDP($A156,G$1)/100</f>
        <v>-0.21446699999999999</v>
      </c>
      <c r="H156" s="6" cm="1">
        <f t="array" ref="H156">_xll.BDP($A156,H$1)/100</f>
        <v>-0.21446699999999999</v>
      </c>
      <c r="I156" s="6" cm="1">
        <f t="array" ref="I156">_xll.BDP($A156,I$1)/100</f>
        <v>-0.2197479</v>
      </c>
    </row>
    <row r="157" spans="1:9" x14ac:dyDescent="0.25">
      <c r="A157" s="1" t="s">
        <v>142</v>
      </c>
      <c r="B157" s="1" t="s">
        <v>13</v>
      </c>
      <c r="C157" s="1" t="s">
        <v>114</v>
      </c>
      <c r="D157" s="1" t="s">
        <v>152</v>
      </c>
      <c r="E157" s="1" t="s">
        <v>15</v>
      </c>
      <c r="F157" s="1" t="str" cm="1">
        <f t="array" ref="F157">_xll.BDP($A157,F$1)</f>
        <v>TOAST INC-A</v>
      </c>
      <c r="G157" s="6" cm="1">
        <f t="array" ref="G157">_xll.BDP($A157,G$1)/100</f>
        <v>-8.730715E-2</v>
      </c>
      <c r="H157" s="6" cm="1">
        <f t="array" ref="H157">_xll.BDP($A157,H$1)/100</f>
        <v>-8.7307170000000003E-2</v>
      </c>
      <c r="I157" s="6" cm="1">
        <f t="array" ref="I157">_xll.BDP($A157,I$1)/100</f>
        <v>-0.26696700000000001</v>
      </c>
    </row>
    <row r="158" spans="1:9" x14ac:dyDescent="0.25">
      <c r="A158" s="1" t="s">
        <v>143</v>
      </c>
      <c r="B158" s="1" t="s">
        <v>13</v>
      </c>
      <c r="C158" s="1" t="s">
        <v>114</v>
      </c>
      <c r="D158" s="1" t="s">
        <v>152</v>
      </c>
      <c r="E158" s="1" t="s">
        <v>15</v>
      </c>
      <c r="F158" s="1" t="str" cm="1">
        <f t="array" ref="F158">_xll.BDP($A158,F$1)</f>
        <v>TRIMBLE INC</v>
      </c>
      <c r="G158" s="6" cm="1">
        <f t="array" ref="G158">_xll.BDP($A158,G$1)/100</f>
        <v>-0.16206180000000001</v>
      </c>
      <c r="H158" s="6" cm="1">
        <f t="array" ref="H158">_xll.BDP($A158,H$1)/100</f>
        <v>-0.16206180000000001</v>
      </c>
      <c r="I158" s="6" cm="1">
        <f t="array" ref="I158">_xll.BDP($A158,I$1)/100</f>
        <v>-0.28002549999999998</v>
      </c>
    </row>
    <row r="159" spans="1:9" x14ac:dyDescent="0.25">
      <c r="A159" s="1" t="s">
        <v>146</v>
      </c>
      <c r="B159" s="1" t="s">
        <v>13</v>
      </c>
      <c r="C159" s="1" t="s">
        <v>114</v>
      </c>
      <c r="D159" s="1" t="s">
        <v>152</v>
      </c>
      <c r="E159" s="1" t="s">
        <v>15</v>
      </c>
      <c r="F159" s="1" t="str" cm="1">
        <f t="array" ref="F159">_xll.BDP($A159,F$1)</f>
        <v>VEEVA SYSTEMS-A</v>
      </c>
      <c r="G159" s="6" cm="1">
        <f t="array" ref="G159">_xll.BDP($A159,G$1)/100</f>
        <v>0.1177791</v>
      </c>
      <c r="H159" s="6" cm="1">
        <f t="array" ref="H159">_xll.BDP($A159,H$1)/100</f>
        <v>0.1177791</v>
      </c>
      <c r="I159" s="6" cm="1">
        <f t="array" ref="I159">_xll.BDP($A159,I$1)/100</f>
        <v>-0.21901180000000001</v>
      </c>
    </row>
    <row r="160" spans="1:9" x14ac:dyDescent="0.25">
      <c r="A160" s="1" t="s">
        <v>120</v>
      </c>
      <c r="B160" s="1" t="s">
        <v>13</v>
      </c>
      <c r="C160" s="1" t="s">
        <v>114</v>
      </c>
      <c r="D160" s="1" t="s">
        <v>16</v>
      </c>
      <c r="E160" s="1" t="s">
        <v>15</v>
      </c>
      <c r="F160" s="1" t="str" cm="1">
        <f t="array" ref="F160">_xll.BDP($A160,F$1)</f>
        <v>COSTAR GROUP INC</v>
      </c>
      <c r="G160" s="6" cm="1">
        <f t="array" ref="G160">_xll.BDP($A160,G$1)/100</f>
        <v>-6.9633050000000002E-2</v>
      </c>
      <c r="H160" s="6" cm="1">
        <f t="array" ref="H160">_xll.BDP($A160,H$1)/100</f>
        <v>-6.9633070000000005E-2</v>
      </c>
      <c r="I160" s="6" cm="1">
        <f t="array" ref="I160">_xll.BDP($A160,I$1)/100</f>
        <v>-0.52111839999999998</v>
      </c>
    </row>
    <row r="161" spans="1:9" x14ac:dyDescent="0.25">
      <c r="A161" s="1" t="s">
        <v>124</v>
      </c>
      <c r="B161" s="1" t="s">
        <v>13</v>
      </c>
      <c r="C161" s="1" t="s">
        <v>114</v>
      </c>
      <c r="D161" s="1" t="s">
        <v>16</v>
      </c>
      <c r="E161" s="1" t="s">
        <v>15</v>
      </c>
      <c r="F161" s="1" t="str" cm="1">
        <f t="array" ref="F161">_xll.BDP($A161,F$1)</f>
        <v>FACTSET RESEARCH</v>
      </c>
      <c r="G161" s="6" cm="1">
        <f t="array" ref="G161">_xll.BDP($A161,G$1)/100</f>
        <v>7.8609720000000008E-2</v>
      </c>
      <c r="H161" s="6" cm="1">
        <f t="array" ref="H161">_xll.BDP($A161,H$1)/100</f>
        <v>7.8609709999999999E-2</v>
      </c>
      <c r="I161" s="6" cm="1">
        <f t="array" ref="I161">_xll.BDP($A161,I$1)/100</f>
        <v>-0.15410589999999999</v>
      </c>
    </row>
    <row r="162" spans="1:9" x14ac:dyDescent="0.25">
      <c r="A162" s="1" t="s">
        <v>131</v>
      </c>
      <c r="B162" s="1" t="s">
        <v>13</v>
      </c>
      <c r="C162" s="1" t="s">
        <v>114</v>
      </c>
      <c r="D162" s="1" t="s">
        <v>16</v>
      </c>
      <c r="E162" s="1" t="s">
        <v>15</v>
      </c>
      <c r="F162" s="1" t="str" cm="1">
        <f t="array" ref="F162">_xll.BDP($A162,F$1)</f>
        <v>MSCI INC</v>
      </c>
      <c r="G162" s="6" cm="1">
        <f t="array" ref="G162">_xll.BDP($A162,G$1)/100</f>
        <v>6.7584249999999998E-2</v>
      </c>
      <c r="H162" s="6" cm="1">
        <f t="array" ref="H162">_xll.BDP($A162,H$1)/100</f>
        <v>6.75843E-2</v>
      </c>
      <c r="I162" s="6" cm="1">
        <f t="array" ref="I162">_xll.BDP($A162,I$1)/100</f>
        <v>0.1004828</v>
      </c>
    </row>
    <row r="163" spans="1:9" x14ac:dyDescent="0.25">
      <c r="A163" s="1" t="s">
        <v>140</v>
      </c>
      <c r="B163" s="1" t="s">
        <v>13</v>
      </c>
      <c r="C163" s="1" t="s">
        <v>114</v>
      </c>
      <c r="D163" s="1" t="s">
        <v>16</v>
      </c>
      <c r="E163" s="1" t="s">
        <v>15</v>
      </c>
      <c r="F163" s="1" t="str" cm="1">
        <f t="array" ref="F163">_xll.BDP($A163,F$1)</f>
        <v>S&amp;P GLOBAL INC</v>
      </c>
      <c r="G163" s="6" cm="1">
        <f t="array" ref="G163">_xll.BDP($A163,G$1)/100</f>
        <v>-1.6765989999999998E-2</v>
      </c>
      <c r="H163" s="6" cm="1">
        <f t="array" ref="H163">_xll.BDP($A163,H$1)/100</f>
        <v>-1.676602E-2</v>
      </c>
      <c r="I163" s="6" cm="1">
        <f t="array" ref="I163">_xll.BDP($A163,I$1)/100</f>
        <v>-0.18865649999999998</v>
      </c>
    </row>
    <row r="164" spans="1:9" x14ac:dyDescent="0.25">
      <c r="A164" s="1" t="s">
        <v>147</v>
      </c>
      <c r="B164" s="1" t="s">
        <v>13</v>
      </c>
      <c r="C164" s="1" t="s">
        <v>114</v>
      </c>
      <c r="D164" s="1" t="s">
        <v>16</v>
      </c>
      <c r="E164" s="1" t="s">
        <v>15</v>
      </c>
      <c r="F164" s="1" t="str" cm="1">
        <f t="array" ref="F164">_xll.BDP($A164,F$1)</f>
        <v>VERISK ANALYTI</v>
      </c>
      <c r="G164" s="6" cm="1">
        <f t="array" ref="G164">_xll.BDP($A164,G$1)/100</f>
        <v>-5.149331E-2</v>
      </c>
      <c r="H164" s="6" cm="1">
        <f t="array" ref="H164">_xll.BDP($A164,H$1)/100</f>
        <v>-5.1493330000000004E-2</v>
      </c>
      <c r="I164" s="6" cm="1">
        <f t="array" ref="I164">_xll.BDP($A164,I$1)/100</f>
        <v>-0.21771200000000002</v>
      </c>
    </row>
    <row r="165" spans="1:9" x14ac:dyDescent="0.25">
      <c r="A165" s="1" t="s">
        <v>113</v>
      </c>
      <c r="B165" s="1" t="s">
        <v>13</v>
      </c>
      <c r="C165" s="1" t="s">
        <v>114</v>
      </c>
      <c r="D165" s="1" t="s">
        <v>153</v>
      </c>
      <c r="E165" s="1" t="s">
        <v>15</v>
      </c>
      <c r="F165" s="1" t="str" cm="1">
        <f t="array" ref="F165">_xll.BDP($A165,F$1)</f>
        <v>AUTOMATIC DATA</v>
      </c>
      <c r="G165" s="6" cm="1">
        <f t="array" ref="G165">_xll.BDP($A165,G$1)/100</f>
        <v>4.6711330000000002E-2</v>
      </c>
      <c r="H165" s="6" cm="1">
        <f t="array" ref="H165">_xll.BDP($A165,H$1)/100</f>
        <v>4.6711320000000001E-2</v>
      </c>
      <c r="I165" s="6" cm="1">
        <f t="array" ref="I165">_xll.BDP($A165,I$1)/100</f>
        <v>-0.13758119999999999</v>
      </c>
    </row>
    <row r="166" spans="1:9" x14ac:dyDescent="0.25">
      <c r="A166" s="1" t="s">
        <v>126</v>
      </c>
      <c r="B166" s="1" t="s">
        <v>13</v>
      </c>
      <c r="C166" s="1" t="s">
        <v>114</v>
      </c>
      <c r="D166" s="1" t="s">
        <v>153</v>
      </c>
      <c r="E166" s="1" t="s">
        <v>15</v>
      </c>
      <c r="F166" s="1" t="str" cm="1">
        <f t="array" ref="F166">_xll.BDP($A166,F$1)</f>
        <v>INTUIT INC</v>
      </c>
      <c r="G166" s="6" cm="1">
        <f t="array" ref="G166">_xll.BDP($A166,G$1)/100</f>
        <v>-0.14664089999999999</v>
      </c>
      <c r="H166" s="6" cm="1">
        <f t="array" ref="H166">_xll.BDP($A166,H$1)/100</f>
        <v>-0.14664089999999999</v>
      </c>
      <c r="I166" s="6" cm="1">
        <f t="array" ref="I166">_xll.BDP($A166,I$1)/100</f>
        <v>-0.49951689999999999</v>
      </c>
    </row>
    <row r="167" spans="1:9" x14ac:dyDescent="0.25">
      <c r="A167" s="1" t="s">
        <v>132</v>
      </c>
      <c r="B167" s="1" t="s">
        <v>13</v>
      </c>
      <c r="C167" s="1" t="s">
        <v>114</v>
      </c>
      <c r="D167" s="1" t="s">
        <v>153</v>
      </c>
      <c r="E167" s="1" t="s">
        <v>15</v>
      </c>
      <c r="F167" s="1" t="str" cm="1">
        <f t="array" ref="F167">_xll.BDP($A167,F$1)</f>
        <v>ORACLE CORP</v>
      </c>
      <c r="G167" s="6" cm="1">
        <f t="array" ref="G167">_xll.BDP($A167,G$1)/100</f>
        <v>0.39897139999999998</v>
      </c>
      <c r="H167" s="6" cm="1">
        <f t="array" ref="H167">_xll.BDP($A167,H$1)/100</f>
        <v>0.39897139999999998</v>
      </c>
      <c r="I167" s="6" cm="1">
        <f t="array" ref="I167">_xll.BDP($A167,I$1)/100</f>
        <v>0.15838079999999999</v>
      </c>
    </row>
    <row r="168" spans="1:9" x14ac:dyDescent="0.25">
      <c r="A168" s="1" t="s">
        <v>146</v>
      </c>
      <c r="B168" s="1" t="s">
        <v>13</v>
      </c>
      <c r="C168" s="1" t="s">
        <v>114</v>
      </c>
      <c r="D168" s="1" t="s">
        <v>153</v>
      </c>
      <c r="E168" s="1" t="s">
        <v>15</v>
      </c>
      <c r="F168" s="1" t="str" cm="1">
        <f t="array" ref="F168">_xll.BDP($A168,F$1)</f>
        <v>VEEVA SYSTEMS-A</v>
      </c>
      <c r="G168" s="6" cm="1">
        <f t="array" ref="G168">_xll.BDP($A168,G$1)/100</f>
        <v>0.1177791</v>
      </c>
      <c r="H168" s="6" cm="1">
        <f t="array" ref="H168">_xll.BDP($A168,H$1)/100</f>
        <v>0.1177791</v>
      </c>
      <c r="I168" s="6" cm="1">
        <f t="array" ref="I168">_xll.BDP($A168,I$1)/100</f>
        <v>-0.21901180000000001</v>
      </c>
    </row>
    <row r="169" spans="1:9" x14ac:dyDescent="0.25">
      <c r="A169" s="1" t="s">
        <v>148</v>
      </c>
      <c r="B169" s="1" t="s">
        <v>13</v>
      </c>
      <c r="C169" s="1" t="s">
        <v>114</v>
      </c>
      <c r="D169" s="1" t="s">
        <v>153</v>
      </c>
      <c r="E169" s="1" t="s">
        <v>15</v>
      </c>
      <c r="F169" s="1" t="str" cm="1">
        <f t="array" ref="F169">_xll.BDP($A169,F$1)</f>
        <v>WORKDAY INC-A</v>
      </c>
      <c r="G169" s="6" cm="1">
        <f t="array" ref="G169">_xll.BDP($A169,G$1)/100</f>
        <v>0.1943627</v>
      </c>
      <c r="H169" s="6" cm="1">
        <f t="array" ref="H169">_xll.BDP($A169,H$1)/100</f>
        <v>0.1943627</v>
      </c>
      <c r="I169" s="6" cm="1">
        <f t="array" ref="I169">_xll.BDP($A169,I$1)/100</f>
        <v>-0.31934999999999997</v>
      </c>
    </row>
    <row r="170" spans="1:9" x14ac:dyDescent="0.25">
      <c r="A170" s="1" t="s">
        <v>137</v>
      </c>
      <c r="B170" s="1" t="s">
        <v>13</v>
      </c>
      <c r="C170" s="1" t="s">
        <v>114</v>
      </c>
      <c r="D170" s="1" t="s">
        <v>154</v>
      </c>
      <c r="E170" s="1" t="s">
        <v>15</v>
      </c>
      <c r="F170" s="1" t="str" cm="1">
        <f t="array" ref="F170">_xll.BDP($A170,F$1)</f>
        <v>SHOPIFY INC - A</v>
      </c>
      <c r="G170" s="6" cm="1">
        <f t="array" ref="G170">_xll.BDP($A170,G$1)/100</f>
        <v>-2.60859E-3</v>
      </c>
      <c r="H170" s="6" cm="1">
        <f t="array" ref="H170">_xll.BDP($A170,H$1)/100</f>
        <v>-2.6085679999999999E-3</v>
      </c>
      <c r="I170" s="6" cm="1">
        <f t="array" ref="I170">_xll.BDP($A170,I$1)/100</f>
        <v>-0.25606329999999999</v>
      </c>
    </row>
    <row r="171" spans="1:9" x14ac:dyDescent="0.25">
      <c r="A171" s="1" t="s">
        <v>142</v>
      </c>
      <c r="B171" s="1" t="s">
        <v>13</v>
      </c>
      <c r="C171" s="1" t="s">
        <v>114</v>
      </c>
      <c r="D171" s="1" t="s">
        <v>154</v>
      </c>
      <c r="E171" s="1" t="s">
        <v>15</v>
      </c>
      <c r="F171" s="1" t="str" cm="1">
        <f t="array" ref="F171">_xll.BDP($A171,F$1)</f>
        <v>TOAST INC-A</v>
      </c>
      <c r="G171" s="6" cm="1">
        <f t="array" ref="G171">_xll.BDP($A171,G$1)/100</f>
        <v>-8.730715E-2</v>
      </c>
      <c r="H171" s="6" cm="1">
        <f t="array" ref="H171">_xll.BDP($A171,H$1)/100</f>
        <v>-8.7307170000000003E-2</v>
      </c>
      <c r="I171" s="6" cm="1">
        <f t="array" ref="I171">_xll.BDP($A171,I$1)/100</f>
        <v>-0.26696700000000001</v>
      </c>
    </row>
    <row r="172" spans="1:9" x14ac:dyDescent="0.25">
      <c r="A172" s="1" t="s">
        <v>144</v>
      </c>
      <c r="B172" s="1" t="s">
        <v>13</v>
      </c>
      <c r="C172" s="1" t="s">
        <v>114</v>
      </c>
      <c r="D172" s="1" t="s">
        <v>154</v>
      </c>
      <c r="E172" s="1" t="s">
        <v>15</v>
      </c>
      <c r="F172" s="1" t="str" cm="1">
        <f t="array" ref="F172">_xll.BDP($A172,F$1)</f>
        <v>SERVICETITAN INC</v>
      </c>
      <c r="G172" s="6" cm="1">
        <f t="array" ref="G172">_xll.BDP($A172,G$1)/100</f>
        <v>0.21695260000000002</v>
      </c>
      <c r="H172" s="6" cm="1">
        <f t="array" ref="H172">_xll.BDP($A172,H$1)/100</f>
        <v>0.21695260000000002</v>
      </c>
      <c r="I172" s="6" cm="1">
        <f t="array" ref="I172">_xll.BDP($A172,I$1)/100</f>
        <v>-0.3205634</v>
      </c>
    </row>
    <row r="173" spans="1:9" x14ac:dyDescent="0.25">
      <c r="G173" s="6"/>
      <c r="H173" s="6"/>
      <c r="I173" s="6"/>
    </row>
    <row r="174" spans="1:9" x14ac:dyDescent="0.25">
      <c r="G174" s="6"/>
      <c r="H174" s="6"/>
      <c r="I174" s="6"/>
    </row>
    <row r="175" spans="1:9" x14ac:dyDescent="0.25">
      <c r="G175" s="6"/>
      <c r="H175" s="6"/>
      <c r="I175" s="6"/>
    </row>
    <row r="176" spans="1:9" x14ac:dyDescent="0.25">
      <c r="G176" s="6"/>
      <c r="H176" s="6"/>
      <c r="I176" s="6"/>
    </row>
    <row r="177" spans="7:9" x14ac:dyDescent="0.25">
      <c r="G177" s="6"/>
      <c r="H177" s="6"/>
      <c r="I177" s="6"/>
    </row>
    <row r="178" spans="7:9" x14ac:dyDescent="0.25">
      <c r="G178" s="6"/>
      <c r="H178" s="6"/>
      <c r="I178" s="6"/>
    </row>
    <row r="179" spans="7:9" x14ac:dyDescent="0.25">
      <c r="G179" s="6"/>
      <c r="H179" s="6"/>
      <c r="I179" s="6"/>
    </row>
    <row r="180" spans="7:9" x14ac:dyDescent="0.25">
      <c r="G180" s="6"/>
      <c r="H180" s="6"/>
      <c r="I180" s="6"/>
    </row>
    <row r="181" spans="7:9" x14ac:dyDescent="0.25">
      <c r="G181" s="6"/>
      <c r="H181" s="6"/>
      <c r="I181" s="6"/>
    </row>
    <row r="182" spans="7:9" x14ac:dyDescent="0.25">
      <c r="G182" s="6"/>
      <c r="H182" s="6"/>
      <c r="I182" s="6"/>
    </row>
    <row r="183" spans="7:9" x14ac:dyDescent="0.25">
      <c r="G183" s="6"/>
      <c r="H183" s="6"/>
      <c r="I183" s="6"/>
    </row>
    <row r="184" spans="7:9" x14ac:dyDescent="0.25">
      <c r="G184" s="6"/>
      <c r="H184" s="6"/>
      <c r="I184" s="6"/>
    </row>
    <row r="185" spans="7:9" x14ac:dyDescent="0.25">
      <c r="G185" s="6"/>
      <c r="H185" s="6"/>
      <c r="I185" s="6"/>
    </row>
    <row r="186" spans="7:9" x14ac:dyDescent="0.25">
      <c r="G186" s="6"/>
      <c r="H186" s="6"/>
      <c r="I186" s="6"/>
    </row>
    <row r="187" spans="7:9" x14ac:dyDescent="0.25">
      <c r="G187" s="6"/>
      <c r="H187" s="6"/>
      <c r="I187" s="6"/>
    </row>
    <row r="188" spans="7:9" x14ac:dyDescent="0.25">
      <c r="G188" s="6"/>
      <c r="H188" s="6"/>
      <c r="I188" s="6"/>
    </row>
    <row r="189" spans="7:9" x14ac:dyDescent="0.25">
      <c r="G189" s="6"/>
      <c r="H189" s="6"/>
      <c r="I189" s="6"/>
    </row>
    <row r="190" spans="7:9" x14ac:dyDescent="0.25">
      <c r="G190" s="6"/>
      <c r="H190" s="6"/>
      <c r="I190" s="6"/>
    </row>
    <row r="191" spans="7:9" x14ac:dyDescent="0.25">
      <c r="G191" s="6"/>
      <c r="H191" s="6"/>
      <c r="I191" s="6"/>
    </row>
    <row r="192" spans="7:9" x14ac:dyDescent="0.25">
      <c r="G192" s="6"/>
      <c r="H192" s="6"/>
      <c r="I192" s="6"/>
    </row>
    <row r="193" spans="7:9" x14ac:dyDescent="0.25">
      <c r="G193" s="6"/>
      <c r="H193" s="6"/>
      <c r="I193" s="6"/>
    </row>
    <row r="194" spans="7:9" x14ac:dyDescent="0.25">
      <c r="G194" s="6"/>
      <c r="H194" s="6"/>
      <c r="I194" s="6"/>
    </row>
    <row r="195" spans="7:9" x14ac:dyDescent="0.25">
      <c r="G195" s="6"/>
      <c r="H195" s="6"/>
      <c r="I195" s="6"/>
    </row>
    <row r="196" spans="7:9" x14ac:dyDescent="0.25">
      <c r="G196" s="6"/>
      <c r="H196" s="6"/>
      <c r="I196" s="6"/>
    </row>
    <row r="197" spans="7:9" x14ac:dyDescent="0.25">
      <c r="G197" s="6"/>
      <c r="H197" s="6"/>
      <c r="I197" s="6"/>
    </row>
    <row r="198" spans="7:9" x14ac:dyDescent="0.25">
      <c r="G198" s="6"/>
      <c r="H198" s="6"/>
      <c r="I198" s="6"/>
    </row>
    <row r="199" spans="7:9" x14ac:dyDescent="0.25">
      <c r="G199" s="6"/>
      <c r="H199" s="6"/>
      <c r="I199" s="6"/>
    </row>
    <row r="200" spans="7:9" x14ac:dyDescent="0.25">
      <c r="G200" s="6"/>
      <c r="H200" s="6"/>
      <c r="I200" s="6"/>
    </row>
    <row r="201" spans="7:9" x14ac:dyDescent="0.25">
      <c r="G201" s="6"/>
      <c r="H201" s="6"/>
      <c r="I201" s="6"/>
    </row>
    <row r="202" spans="7:9" x14ac:dyDescent="0.25">
      <c r="G202" s="6"/>
      <c r="H202" s="6"/>
      <c r="I2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Jones</dc:creator>
  <cp:lastModifiedBy>Evan Jones</cp:lastModifiedBy>
  <dcterms:created xsi:type="dcterms:W3CDTF">2026-05-31T23:06:30Z</dcterms:created>
  <dcterms:modified xsi:type="dcterms:W3CDTF">2026-06-01T03:37:32Z</dcterms:modified>
</cp:coreProperties>
</file>